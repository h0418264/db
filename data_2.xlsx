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Executive Summary" sheetId="1" state="visible" r:id="rId3"/>
    <sheet name="2. P&amp;L (Overall)" sheetId="2" state="visible" r:id="rId4"/>
    <sheet name="3. P&amp;L by Property" sheetId="3" state="visible" r:id="rId5"/>
    <sheet name="4. BME Breakdown" sheetId="4" state="visible" r:id="rId6"/>
    <sheet name="5. BME by Property" sheetId="5" state="visible" r:id="rId7"/>
    <sheet name="6. Occupancy" sheetId="6" state="visible" r:id="rId8"/>
    <sheet name="7. Expiry Profile" sheetId="7" state="visible" r:id="rId9"/>
    <sheet name="8. Rental Reversion" sheetId="8" state="visible" r:id="rId10"/>
    <sheet name="9. NPI Trend" sheetId="9" state="visible" r:id="rId11"/>
    <sheet name="10. Tenant Sal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<sst xmlns="http://schemas.openxmlformats.org/spreadsheetml/2006/main" count="289" uniqueCount="183">
  <si>
    <t xml:space="preserve">1. Executive Summary</t>
  </si>
  <si>
    <t xml:space="preserve">Key portfolio metrics vs budget and prior year (HK$ in millions)</t>
  </si>
  <si>
    <t xml:space="preserve">KPI</t>
  </si>
  <si>
    <t xml:space="preserve">Actual</t>
  </si>
  <si>
    <t xml:space="preserve">Budget</t>
  </si>
  <si>
    <t xml:space="preserve">VS Budget</t>
  </si>
  <si>
    <t xml:space="preserve">YOY</t>
  </si>
  <si>
    <t xml:space="preserve">Total Revenue</t>
  </si>
  <si>
    <t xml:space="preserve">Operating Expenses</t>
  </si>
  <si>
    <t xml:space="preserve">Net Property Income</t>
  </si>
  <si>
    <t xml:space="preserve">Cost-to-Income Ratio</t>
  </si>
  <si>
    <t xml:space="preserve">Overall Occupancy</t>
  </si>
  <si>
    <t xml:space="preserve">Office Occupancy</t>
  </si>
  <si>
    <t xml:space="preserve">Retail Occupancy</t>
  </si>
  <si>
    <t xml:space="preserve">Leasing Activity</t>
  </si>
  <si>
    <t xml:space="preserve">Segment</t>
  </si>
  <si>
    <t xml:space="preserve">New Lets (count)</t>
  </si>
  <si>
    <t xml:space="preserve">New Lets (sqft)</t>
  </si>
  <si>
    <t xml:space="preserve">Renewals (count)</t>
  </si>
  <si>
    <t xml:space="preserve">Renewals (sqft)</t>
  </si>
  <si>
    <t xml:space="preserve">Overall</t>
  </si>
  <si>
    <t xml:space="preserve">Office</t>
  </si>
  <si>
    <t xml:space="preserve">Retail</t>
  </si>
  <si>
    <t xml:space="preserve">2. P&amp;L Overview</t>
  </si>
  <si>
    <t xml:space="preserve">Actual vs Budget by line item (HK$ in millions)</t>
  </si>
  <si>
    <t xml:space="preserve">Line Item</t>
  </si>
  <si>
    <t xml:space="preserve">Actual (HK$M)</t>
  </si>
  <si>
    <t xml:space="preserve">Budget (HK$t)</t>
  </si>
  <si>
    <t xml:space="preserve">Var %</t>
  </si>
  <si>
    <t xml:space="preserve">Rental and carpark income</t>
  </si>
  <si>
    <t xml:space="preserve">Rental related income</t>
  </si>
  <si>
    <t xml:space="preserve">Total revenue</t>
  </si>
  <si>
    <t xml:space="preserve">Building management fee</t>
  </si>
  <si>
    <t xml:space="preserve">Marketing and promotion</t>
  </si>
  <si>
    <t xml:space="preserve">Maintenance and repair</t>
  </si>
  <si>
    <t xml:space="preserve">Rental commission</t>
  </si>
  <si>
    <t xml:space="preserve">Other OPEX</t>
  </si>
  <si>
    <t xml:space="preserve">Total operating expenses</t>
  </si>
  <si>
    <t xml:space="preserve">Net property income</t>
  </si>
  <si>
    <t xml:space="preserve">2. P&amp;L by Property — YOY Change</t>
  </si>
  <si>
    <t xml:space="preserve">Year-over-year movement by property (% and HK$M)</t>
  </si>
  <si>
    <t xml:space="preserve">Property</t>
  </si>
  <si>
    <t xml:space="preserve">Revenue YOY %</t>
  </si>
  <si>
    <t xml:space="preserve">Revenue YOY $M</t>
  </si>
  <si>
    <t xml:space="preserve">OPEX YOY %</t>
  </si>
  <si>
    <t xml:space="preserve">OPEX YOY $M</t>
  </si>
  <si>
    <t xml:space="preserve">BME YOY %</t>
  </si>
  <si>
    <t xml:space="preserve">BME YOY $M</t>
  </si>
  <si>
    <t xml:space="preserve">NPI YOY %</t>
  </si>
  <si>
    <t xml:space="preserve">NPI YOY $M</t>
  </si>
  <si>
    <t xml:space="preserve">1Q 2026</t>
  </si>
  <si>
    <t xml:space="preserve">1Q 2025</t>
  </si>
  <si>
    <t xml:space="preserve">DSFC</t>
  </si>
  <si>
    <t xml:space="preserve">SD50</t>
  </si>
  <si>
    <t xml:space="preserve">RC</t>
  </si>
  <si>
    <t xml:space="preserve">TH</t>
  </si>
  <si>
    <t xml:space="preserve">SSC</t>
  </si>
  <si>
    <t xml:space="preserve">MCP</t>
  </si>
  <si>
    <t xml:space="preserve">W9Z</t>
  </si>
  <si>
    <t xml:space="preserve">KWP</t>
  </si>
  <si>
    <t xml:space="preserve">Other Properties</t>
  </si>
  <si>
    <t xml:space="preserve">Overall Portfolio</t>
  </si>
  <si>
    <t xml:space="preserve">2. Building Management Expenses — by Item</t>
  </si>
  <si>
    <t xml:space="preserve">Year-to-date BME analysis vs budget and prior year</t>
  </si>
  <si>
    <t xml:space="preserve">Item</t>
  </si>
  <si>
    <t xml:space="preserve">YTD (HK$M)</t>
  </si>
  <si>
    <t xml:space="preserve">VS Budget %</t>
  </si>
  <si>
    <t xml:space="preserve">YOY %</t>
  </si>
  <si>
    <t xml:space="preserve">YOY $M</t>
  </si>
  <si>
    <t xml:space="preserve">Electricity</t>
  </si>
  <si>
    <t xml:space="preserve">Staff Cost</t>
  </si>
  <si>
    <t xml:space="preserve">Security</t>
  </si>
  <si>
    <t xml:space="preserve">Other BME items</t>
  </si>
  <si>
    <t xml:space="preserve">Total BME</t>
  </si>
  <si>
    <t xml:space="preserve">2. BME by Property — YoY % Change</t>
  </si>
  <si>
    <t xml:space="preserve">Top BME items by property (positive = increase YoY)</t>
  </si>
  <si>
    <t xml:space="preserve">Electricity YoY %</t>
  </si>
  <si>
    <t xml:space="preserve">Staff Cost YoY %</t>
  </si>
  <si>
    <t xml:space="preserve">Security YoY %</t>
  </si>
  <si>
    <t xml:space="preserve">3. Occupancy by Property</t>
  </si>
  <si>
    <t xml:space="preserve">Quarterly occupancy trend (%) — Dec 25 to Sep 26</t>
  </si>
  <si>
    <t xml:space="preserve">Dec-25</t>
  </si>
  <si>
    <t xml:space="preserve">Mar-26</t>
  </si>
  <si>
    <t xml:space="preserve">Jun-26</t>
  </si>
  <si>
    <t xml:space="preserve">Sep-26</t>
  </si>
  <si>
    <t xml:space="preserve">WH</t>
  </si>
  <si>
    <t xml:space="preserve">SF</t>
  </si>
  <si>
    <t xml:space="preserve">WC</t>
  </si>
  <si>
    <t xml:space="preserve">OL</t>
  </si>
  <si>
    <t xml:space="preserve">Office Average</t>
  </si>
  <si>
    <t xml:space="preserve">Sub-total</t>
  </si>
  <si>
    <t xml:space="preserve">BCC</t>
  </si>
  <si>
    <t xml:space="preserve">SS</t>
  </si>
  <si>
    <t xml:space="preserve">Retail Average</t>
  </si>
  <si>
    <t xml:space="preserve">Total</t>
  </si>
  <si>
    <t xml:space="preserve">3. Lease Expiry Profile by Property</t>
  </si>
  <si>
    <t xml:space="preserve">Percentage of leased area expiring in next 9 months</t>
  </si>
  <si>
    <t xml:space="preserve">Due in 1-3 months (%)</t>
  </si>
  <si>
    <t xml:space="preserve">Due in 4-6 months (%)</t>
  </si>
  <si>
    <t xml:space="preserve">Due in 7-9 months (%)</t>
  </si>
  <si>
    <t xml:space="preserve">3. Rental Reversion by Property</t>
  </si>
  <si>
    <t xml:space="preserve">1Q 2026 reversion %  (positive = uplift, negative = decline)</t>
  </si>
  <si>
    <t xml:space="preserve">Reversion %</t>
  </si>
  <si>
    <t xml:space="preserve">4. Net Property Income Trend</t>
  </si>
  <si>
    <t xml:space="preserve">Half-yearly NPI (HK$ in millions)</t>
  </si>
  <si>
    <t xml:space="preserve">1H 2024</t>
  </si>
  <si>
    <t xml:space="preserve">2H 2024</t>
  </si>
  <si>
    <t xml:space="preserve">1H 2025</t>
  </si>
  <si>
    <t xml:space="preserve">2H 2025</t>
  </si>
  <si>
    <t xml:space="preserve">1H 2026F</t>
  </si>
  <si>
    <t xml:space="preserve">2H 2026F</t>
  </si>
  <si>
    <t xml:space="preserve">5. Tenant Sales by Trade Category</t>
  </si>
  <si>
    <t xml:space="preserve">Trade Category</t>
  </si>
  <si>
    <t xml:space="preserve">Trade Name</t>
  </si>
  <si>
    <t xml:space="preserve">Current Sales (HK$M)</t>
  </si>
  <si>
    <t xml:space="preserve">Prior Sales (HK$M)</t>
  </si>
  <si>
    <t xml:space="preserve">Current R/S Ratio %</t>
  </si>
  <si>
    <t xml:space="preserve">Prior R/S Ratio %</t>
  </si>
  <si>
    <t xml:space="preserve">Apparel &amp; Shoes</t>
  </si>
  <si>
    <t xml:space="preserve">Marathon</t>
  </si>
  <si>
    <t xml:space="preserve">Triumph</t>
  </si>
  <si>
    <t xml:space="preserve">Baby Tree</t>
  </si>
  <si>
    <t xml:space="preserve">Sukhama</t>
  </si>
  <si>
    <t xml:space="preserve">H&amp;L</t>
  </si>
  <si>
    <t xml:space="preserve">TOXIC 8</t>
  </si>
  <si>
    <t xml:space="preserve">Bakery, Confectionery &amp; Light Refreshment</t>
  </si>
  <si>
    <t xml:space="preserve">唐記包點</t>
  </si>
  <si>
    <t xml:space="preserve">Arome</t>
  </si>
  <si>
    <t xml:space="preserve">奇華餅家</t>
  </si>
  <si>
    <t xml:space="preserve">糧友麵包</t>
  </si>
  <si>
    <t xml:space="preserve">Chateraise</t>
  </si>
  <si>
    <t xml:space="preserve">天仁茗茶</t>
  </si>
  <si>
    <t xml:space="preserve">為食海南雞</t>
  </si>
  <si>
    <t xml:space="preserve">華御結</t>
  </si>
  <si>
    <t xml:space="preserve">茶咖</t>
  </si>
  <si>
    <t xml:space="preserve">Janes &amp; Beans</t>
  </si>
  <si>
    <t xml:space="preserve">手作之店</t>
  </si>
  <si>
    <t xml:space="preserve">鴻福堂</t>
  </si>
  <si>
    <t xml:space="preserve">Cosmetics &amp; Personal Care</t>
  </si>
  <si>
    <t xml:space="preserve">Mannings</t>
  </si>
  <si>
    <t xml:space="preserve">Watsons</t>
  </si>
  <si>
    <t xml:space="preserve">Colourmix</t>
  </si>
  <si>
    <t xml:space="preserve">Tonymoly</t>
  </si>
  <si>
    <t xml:space="preserve">SalalaBeauty</t>
  </si>
  <si>
    <t xml:space="preserve">Food &amp; Beverage</t>
  </si>
  <si>
    <t xml:space="preserve">港味</t>
  </si>
  <si>
    <t xml:space="preserve">元氣壽司</t>
  </si>
  <si>
    <t xml:space="preserve">荳子冰室</t>
  </si>
  <si>
    <t xml:space="preserve">茶木</t>
  </si>
  <si>
    <t xml:space="preserve">樂園</t>
  </si>
  <si>
    <t xml:space="preserve">譚仔三哥</t>
  </si>
  <si>
    <t xml:space="preserve">Euro Go Go</t>
  </si>
  <si>
    <t xml:space="preserve">MOS Burger (SSC)</t>
  </si>
  <si>
    <t xml:space="preserve">Pacific Coffee</t>
  </si>
  <si>
    <t xml:space="preserve">滿記甜品</t>
  </si>
  <si>
    <t xml:space="preserve">海天堂</t>
  </si>
  <si>
    <t xml:space="preserve">Health Food</t>
  </si>
  <si>
    <t xml:space="preserve">Vita Green</t>
  </si>
  <si>
    <t xml:space="preserve">同仁堂</t>
  </si>
  <si>
    <t xml:space="preserve">余仁生</t>
  </si>
  <si>
    <t xml:space="preserve">仁御堂</t>
  </si>
  <si>
    <t xml:space="preserve">一元堂</t>
  </si>
  <si>
    <t xml:space="preserve">正官庄</t>
  </si>
  <si>
    <t xml:space="preserve">南北行</t>
  </si>
  <si>
    <t xml:space="preserve">Catalo</t>
  </si>
  <si>
    <t xml:space="preserve">上品堂</t>
  </si>
  <si>
    <t xml:space="preserve">尚品</t>
  </si>
  <si>
    <t xml:space="preserve">Jewelry, Watches &amp; Optical</t>
  </si>
  <si>
    <t xml:space="preserve">永明眼鏡</t>
  </si>
  <si>
    <t xml:space="preserve">ZOFF</t>
  </si>
  <si>
    <t xml:space="preserve">名鑽軒</t>
  </si>
  <si>
    <t xml:space="preserve">銘誠珠寶</t>
  </si>
  <si>
    <t xml:space="preserve">港生純銀</t>
  </si>
  <si>
    <t xml:space="preserve">Lifestyle / Household / Services</t>
  </si>
  <si>
    <t xml:space="preserve">韓剪</t>
  </si>
  <si>
    <t xml:space="preserve">Q-Pet</t>
  </si>
  <si>
    <t xml:space="preserve">海溢數碼城</t>
  </si>
  <si>
    <t xml:space="preserve">小城故事</t>
  </si>
  <si>
    <t xml:space="preserve">Supermarket &amp; foodstuff</t>
  </si>
  <si>
    <r>
      <rPr>
        <sz val="11"/>
        <color theme="1"/>
        <rFont val="Noto Sans CJK SC"/>
        <family val="2"/>
      </rPr>
      <t xml:space="preserve">優品</t>
    </r>
    <r>
      <rPr>
        <sz val="11"/>
        <color theme="1"/>
        <rFont val="Calibri"/>
        <family val="2"/>
        <charset val="1"/>
      </rPr>
      <t xml:space="preserve">360</t>
    </r>
  </si>
  <si>
    <t xml:space="preserve">HKTVmall</t>
  </si>
  <si>
    <t xml:space="preserve">Hotmaxx</t>
  </si>
  <si>
    <t xml:space="preserve">鵬鵬凍肉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</si>
</sst>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_);\(#,##0\)"/>
    <numFmt numFmtId="166" formatCode="0%"/>
    <numFmt numFmtId="167" formatCode="0.0%"/>
    <numFmt numFmtId="168" formatCode="#,##0.000;\-#,##0.000"/>
    <numFmt numFmtId="169" formatCode="#,##0_);[RED]\(#,##0\)"/>
    <numFmt numFmtId="170" formatCode="_(* #,##0.00_);_(* \(#,##0.00\);_(* \-??_);_(@_)"/>
    <numFmt numFmtId="171" formatCode="_-* #,##0_-;\-* #,##0_-;_-* \-??_-;_-@_-"/>
    <numFmt numFmtId="172" formatCode="_-* #,##0.00_-;\-* #,##0.00_-;_-* \-??_-;_-@_-"/>
    <numFmt numFmtId="173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 tint="-0.25"/>
      <name val="Calibri"/>
      <family val="2"/>
      <charset val="1"/>
    </font>
    <font>
      <b val="true"/>
      <sz val="14"/>
      <color rgb="FF1E3A8A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1.29"/>
    <col collapsed="false" customWidth="true" hidden="false" outlineLevel="0" max="5" min="2" style="1" width="16.43"/>
    <col collapsed="false" customWidth="true" hidden="false" outlineLevel="0" max="6" min="6" style="2" width="16.43"/>
  </cols>
  <sheetData>
    <row r="1" customFormat="false" ht="18.75" hidden="false" customHeight="true" outlineLevel="0" collapsed="false">
      <c r="A1" s="3" t="s">
        <v>0</v>
      </c>
    </row>
    <row r="2" customFormat="false" ht="15" hidden="false" customHeight="false" outlineLevel="0" collapsed="false">
      <c r="A2" s="4" t="s">
        <v>1</v>
      </c>
    </row>
    <row r="3" customFormat="false" ht="15" hidden="false" customHeight="false" outlineLevel="0" collapsed="false">
      <c r="A3" s="0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customFormat="false" ht="15.75" hidden="false" customHeight="true" outlineLevel="0" collapsed="false">
      <c r="A4" s="0" t="s">
        <v>7</v>
      </c>
      <c r="B4" s="5" t="n">
        <v>1285</v>
      </c>
      <c r="C4" s="5" t="n">
        <v>1310</v>
      </c>
      <c r="D4" s="5" t="n">
        <f aca="false">B4-C4</f>
        <v>-25</v>
      </c>
      <c r="E4" s="6" t="n">
        <v>0.034</v>
      </c>
    </row>
    <row r="5" customFormat="false" ht="15.75" hidden="false" customHeight="true" outlineLevel="0" collapsed="false">
      <c r="A5" s="0" t="s">
        <v>8</v>
      </c>
      <c r="B5" s="5" t="n">
        <v>-402</v>
      </c>
      <c r="C5" s="5" t="n">
        <v>-415</v>
      </c>
      <c r="D5" s="5" t="n">
        <f aca="false">B5-C5</f>
        <v>13</v>
      </c>
      <c r="E5" s="6" t="n">
        <v>0.021</v>
      </c>
    </row>
    <row r="6" customFormat="false" ht="15.75" hidden="false" customHeight="true" outlineLevel="0" collapsed="false">
      <c r="A6" s="0" t="s">
        <v>9</v>
      </c>
      <c r="B6" s="5" t="n">
        <v>883</v>
      </c>
      <c r="C6" s="5" t="n">
        <v>895</v>
      </c>
      <c r="D6" s="5" t="n">
        <f aca="false">B6-C6</f>
        <v>-12</v>
      </c>
      <c r="E6" s="6" t="n">
        <v>0.041</v>
      </c>
    </row>
    <row r="7" customFormat="false" ht="15.75" hidden="false" customHeight="true" outlineLevel="0" collapsed="false">
      <c r="A7" s="0" t="s">
        <v>10</v>
      </c>
      <c r="B7" s="6" t="n">
        <f aca="false">1-B6/B4</f>
        <v>0.31284046692607</v>
      </c>
      <c r="C7" s="6" t="n">
        <f aca="false">1-C6/C4</f>
        <v>0.316793893129771</v>
      </c>
      <c r="D7" s="7" t="str">
        <f aca="false">TEXT((B7-C7)*100,"0.0")&amp;"pp"</f>
        <v>-0.4pp</v>
      </c>
      <c r="E7" s="7" t="str">
        <f aca="false">TEXT((B7-F7)*100,"0.0")&amp;"pp"</f>
        <v>-0.5pp</v>
      </c>
      <c r="F7" s="8" t="n">
        <v>0.318</v>
      </c>
    </row>
    <row r="8" customFormat="false" ht="15.75" hidden="false" customHeight="true" outlineLevel="0" collapsed="false">
      <c r="A8" s="0" t="s">
        <v>11</v>
      </c>
      <c r="B8" s="6" t="n">
        <v>0.962</v>
      </c>
      <c r="C8" s="6" t="n">
        <v>0.955</v>
      </c>
      <c r="E8" s="7"/>
    </row>
    <row r="9" customFormat="false" ht="15.75" hidden="false" customHeight="true" outlineLevel="0" collapsed="false">
      <c r="A9" s="0" t="s">
        <v>12</v>
      </c>
      <c r="B9" s="6" t="n">
        <v>0.948</v>
      </c>
      <c r="C9" s="6" t="n">
        <v>0.94</v>
      </c>
      <c r="E9" s="7"/>
    </row>
    <row r="10" customFormat="false" ht="15.75" hidden="false" customHeight="true" outlineLevel="0" collapsed="false">
      <c r="A10" s="0" t="s">
        <v>13</v>
      </c>
      <c r="B10" s="6" t="n">
        <v>0.981</v>
      </c>
      <c r="C10" s="6" t="n">
        <v>0.975</v>
      </c>
      <c r="E10" s="7"/>
    </row>
    <row r="11" customFormat="false" ht="15" hidden="false" customHeight="false" outlineLevel="0" collapsed="false">
      <c r="D11" s="5"/>
    </row>
    <row r="12" customFormat="false" ht="15" hidden="false" customHeight="false" outlineLevel="0" collapsed="false">
      <c r="A12" s="0" t="s">
        <v>14</v>
      </c>
    </row>
    <row r="13" customFormat="false" ht="15" hidden="false" customHeight="false" outlineLevel="0" collapsed="false">
      <c r="A13" s="0" t="s">
        <v>15</v>
      </c>
      <c r="B13" s="1" t="s">
        <v>16</v>
      </c>
      <c r="C13" s="1" t="s">
        <v>17</v>
      </c>
      <c r="D13" s="1" t="s">
        <v>18</v>
      </c>
      <c r="E13" s="1" t="s">
        <v>19</v>
      </c>
    </row>
    <row r="14" customFormat="false" ht="15" hidden="false" customHeight="false" outlineLevel="0" collapsed="false">
      <c r="A14" s="0" t="s">
        <v>20</v>
      </c>
      <c r="B14" s="1" t="n">
        <f aca="false">B15+B16</f>
        <v>52</v>
      </c>
      <c r="C14" s="9" t="n">
        <f aca="false">SUM(C15:C16)</f>
        <v>71200</v>
      </c>
      <c r="D14" s="1" t="n">
        <f aca="false">D15+D16</f>
        <v>66</v>
      </c>
      <c r="E14" s="9" t="n">
        <f aca="false">SUM(E15:E16)</f>
        <v>101000</v>
      </c>
    </row>
    <row r="15" customFormat="false" ht="15" hidden="false" customHeight="false" outlineLevel="0" collapsed="false">
      <c r="A15" s="0" t="s">
        <v>21</v>
      </c>
      <c r="B15" s="1" t="n">
        <v>18</v>
      </c>
      <c r="C15" s="9" t="n">
        <v>42500</v>
      </c>
      <c r="D15" s="1" t="n">
        <v>25</v>
      </c>
      <c r="E15" s="9" t="n">
        <v>61200</v>
      </c>
    </row>
    <row r="16" customFormat="false" ht="15" hidden="false" customHeight="false" outlineLevel="0" collapsed="false">
      <c r="A16" s="0" t="s">
        <v>22</v>
      </c>
      <c r="B16" s="1" t="n">
        <v>34</v>
      </c>
      <c r="C16" s="9" t="n">
        <v>28700</v>
      </c>
      <c r="D16" s="1" t="n">
        <v>41</v>
      </c>
      <c r="E16" s="9" t="n">
        <v>39800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6"/>
    <col collapsed="false" customWidth="true" hidden="false" outlineLevel="0" max="4" min="4" style="0" width="14"/>
  </cols>
  <sheetData>
    <row r="1" customFormat="false" ht="18.75" hidden="false" customHeight="true" outlineLevel="0" collapsed="false">
      <c r="A1" s="3" t="s">
        <v>23</v>
      </c>
    </row>
    <row r="2" customFormat="false" ht="15" hidden="false" customHeight="false" outlineLevel="0" collapsed="false">
      <c r="A2" s="4" t="s">
        <v>24</v>
      </c>
    </row>
    <row r="4" customFormat="false" ht="15" hidden="false" customHeight="false" outlineLevel="0" collapsed="false">
      <c r="A4" s="0" t="s">
        <v>25</v>
      </c>
      <c r="B4" s="1" t="s">
        <v>26</v>
      </c>
      <c r="C4" s="1" t="s">
        <v>27</v>
      </c>
      <c r="D4" s="1" t="s">
        <v>28</v>
      </c>
    </row>
    <row r="5" customFormat="false" ht="15" hidden="false" customHeight="false" outlineLevel="0" collapsed="false">
      <c r="A5" s="0" t="s">
        <v>29</v>
      </c>
      <c r="B5" s="5" t="n">
        <v>1180</v>
      </c>
      <c r="C5" s="5" t="n">
        <v>1205</v>
      </c>
      <c r="D5" s="6" t="n">
        <f aca="false">B5/C5-1</f>
        <v>-0.020746887966805</v>
      </c>
    </row>
    <row r="6" customFormat="false" ht="15" hidden="false" customHeight="false" outlineLevel="0" collapsed="false">
      <c r="A6" s="0" t="s">
        <v>30</v>
      </c>
      <c r="B6" s="10" t="n">
        <v>105</v>
      </c>
      <c r="C6" s="10" t="n">
        <v>105</v>
      </c>
      <c r="D6" s="6" t="n">
        <f aca="false">B6/C6-1</f>
        <v>0</v>
      </c>
    </row>
    <row r="7" customFormat="false" ht="15" hidden="false" customHeight="false" outlineLevel="0" collapsed="false">
      <c r="A7" s="0" t="s">
        <v>31</v>
      </c>
      <c r="B7" s="10" t="n">
        <f aca="false">B5+B6</f>
        <v>1285</v>
      </c>
      <c r="C7" s="10" t="n">
        <f aca="false">C5+C6</f>
        <v>1310</v>
      </c>
      <c r="D7" s="6" t="n">
        <f aca="false">B7/C7-1</f>
        <v>-0.0190839694656488</v>
      </c>
    </row>
    <row r="8" customFormat="false" ht="15" hidden="false" customHeight="false" outlineLevel="0" collapsed="false">
      <c r="A8" s="0" t="s">
        <v>32</v>
      </c>
      <c r="B8" s="10" t="n">
        <v>-148</v>
      </c>
      <c r="C8" s="10" t="n">
        <v>-152</v>
      </c>
      <c r="D8" s="6" t="n">
        <f aca="false">B8/C8-1</f>
        <v>-0.0263157894736842</v>
      </c>
    </row>
    <row r="9" customFormat="false" ht="15" hidden="false" customHeight="false" outlineLevel="0" collapsed="false">
      <c r="A9" s="0" t="s">
        <v>33</v>
      </c>
      <c r="B9" s="10" t="n">
        <v>-22</v>
      </c>
      <c r="C9" s="10" t="n">
        <v>-25</v>
      </c>
      <c r="D9" s="6" t="n">
        <f aca="false">B9/C9-1</f>
        <v>-0.12</v>
      </c>
    </row>
    <row r="10" customFormat="false" ht="15" hidden="false" customHeight="false" outlineLevel="0" collapsed="false">
      <c r="A10" s="0" t="s">
        <v>34</v>
      </c>
      <c r="B10" s="10" t="n">
        <v>-58</v>
      </c>
      <c r="C10" s="10" t="n">
        <v>-60</v>
      </c>
      <c r="D10" s="6" t="n">
        <f aca="false">B10/C10-1</f>
        <v>-0.0333333333333333</v>
      </c>
    </row>
    <row r="11" customFormat="false" ht="15" hidden="false" customHeight="false" outlineLevel="0" collapsed="false">
      <c r="A11" s="0" t="s">
        <v>35</v>
      </c>
      <c r="B11" s="10" t="n">
        <v>-19</v>
      </c>
      <c r="C11" s="10" t="n">
        <v>-18</v>
      </c>
      <c r="D11" s="6" t="n">
        <f aca="false">B11/C11-1</f>
        <v>0.0555555555555556</v>
      </c>
    </row>
    <row r="12" customFormat="false" ht="15" hidden="false" customHeight="false" outlineLevel="0" collapsed="false">
      <c r="A12" s="0" t="s">
        <v>36</v>
      </c>
      <c r="B12" s="10" t="n">
        <v>-155</v>
      </c>
      <c r="C12" s="10" t="n">
        <v>-160</v>
      </c>
      <c r="D12" s="6" t="n">
        <f aca="false">B12/C12-1</f>
        <v>-0.03125</v>
      </c>
    </row>
    <row r="13" customFormat="false" ht="15" hidden="false" customHeight="false" outlineLevel="0" collapsed="false">
      <c r="A13" s="0" t="s">
        <v>37</v>
      </c>
      <c r="B13" s="10" t="n">
        <f aca="false">SUM(B8:B12)</f>
        <v>-402</v>
      </c>
      <c r="C13" s="10" t="n">
        <f aca="false">SUM(C8:C12)</f>
        <v>-415</v>
      </c>
      <c r="D13" s="6" t="n">
        <f aca="false">B13/C13-1</f>
        <v>-0.0313253012048192</v>
      </c>
    </row>
    <row r="14" customFormat="false" ht="15" hidden="false" customHeight="false" outlineLevel="0" collapsed="false">
      <c r="A14" s="0" t="s">
        <v>38</v>
      </c>
      <c r="B14" s="10" t="n">
        <f aca="false">B7+B13</f>
        <v>883</v>
      </c>
      <c r="C14" s="10" t="n">
        <f aca="false">C7+C13</f>
        <v>895</v>
      </c>
      <c r="D14" s="6" t="n">
        <f aca="false">B14/C14-1</f>
        <v>-0.0134078212290503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9" min="2" style="0" width="17.42"/>
    <col collapsed="false" customWidth="true" hidden="false" outlineLevel="0" max="12" min="11" style="2" width="11.57"/>
  </cols>
  <sheetData>
    <row r="1" customFormat="false" ht="18.75" hidden="false" customHeight="true" outlineLevel="0" collapsed="false">
      <c r="A1" s="3" t="s">
        <v>39</v>
      </c>
    </row>
    <row r="2" customFormat="false" ht="15" hidden="false" customHeight="false" outlineLevel="0" collapsed="false">
      <c r="A2" s="4" t="s">
        <v>40</v>
      </c>
    </row>
    <row r="4" customFormat="false" ht="15" hidden="false" customHeight="false" outlineLevel="0" collapsed="false">
      <c r="A4" s="0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49</v>
      </c>
      <c r="K4" s="11" t="s">
        <v>50</v>
      </c>
      <c r="L4" s="11" t="s">
        <v>51</v>
      </c>
    </row>
    <row r="5" customFormat="false" ht="15" hidden="false" customHeight="false" outlineLevel="0" collapsed="false">
      <c r="A5" s="12" t="s">
        <v>52</v>
      </c>
      <c r="B5" s="13" t="n">
        <v>0.045</v>
      </c>
      <c r="C5" s="14" t="n">
        <v>12.3</v>
      </c>
      <c r="D5" s="13" t="n">
        <v>0.021</v>
      </c>
      <c r="E5" s="14" t="n">
        <v>-2.1</v>
      </c>
      <c r="F5" s="13" t="n">
        <f aca="false">K5/L5-1</f>
        <v>0.0347432024169185</v>
      </c>
      <c r="G5" s="14" t="n">
        <f aca="false">(K5-L5)/1000</f>
        <v>0.23</v>
      </c>
      <c r="H5" s="13" t="n">
        <v>0.052</v>
      </c>
      <c r="I5" s="14" t="n">
        <v>10.2</v>
      </c>
      <c r="K5" s="15" t="n">
        <v>6850</v>
      </c>
      <c r="L5" s="15" t="n">
        <v>6620</v>
      </c>
    </row>
    <row r="6" customFormat="false" ht="15" hidden="false" customHeight="false" outlineLevel="0" collapsed="false">
      <c r="A6" s="12" t="s">
        <v>53</v>
      </c>
      <c r="B6" s="13" t="n">
        <v>0.032</v>
      </c>
      <c r="C6" s="14" t="n">
        <v>6.8</v>
      </c>
      <c r="D6" s="13" t="n">
        <v>0.015</v>
      </c>
      <c r="E6" s="14" t="n">
        <v>-1.4</v>
      </c>
      <c r="F6" s="13" t="n">
        <f aca="false">K6/L6-1</f>
        <v>0.027431421446384</v>
      </c>
      <c r="G6" s="14" t="n">
        <f aca="false">(K6-L6)/1000</f>
        <v>0.11</v>
      </c>
      <c r="H6" s="13" t="n">
        <v>0.041</v>
      </c>
      <c r="I6" s="14" t="n">
        <v>5.4</v>
      </c>
      <c r="K6" s="15" t="n">
        <v>4120</v>
      </c>
      <c r="L6" s="15" t="n">
        <v>4010</v>
      </c>
    </row>
    <row r="7" customFormat="false" ht="15" hidden="false" customHeight="false" outlineLevel="0" collapsed="false">
      <c r="A7" s="12" t="s">
        <v>54</v>
      </c>
      <c r="B7" s="13" t="n">
        <v>-0.012</v>
      </c>
      <c r="C7" s="14" t="n">
        <v>-2.1</v>
      </c>
      <c r="D7" s="13" t="n">
        <v>0.034</v>
      </c>
      <c r="E7" s="14" t="n">
        <v>-3.2</v>
      </c>
      <c r="F7" s="13" t="n">
        <f aca="false">K7/L7-1</f>
        <v>0.0439121756487026</v>
      </c>
      <c r="G7" s="14" t="n">
        <f aca="false">(K7-L7)/1000</f>
        <v>0.22</v>
      </c>
      <c r="H7" s="13" t="n">
        <v>-0.028</v>
      </c>
      <c r="I7" s="14" t="n">
        <v>-5.3</v>
      </c>
      <c r="K7" s="15" t="n">
        <v>5230</v>
      </c>
      <c r="L7" s="15" t="n">
        <v>5010</v>
      </c>
    </row>
    <row r="8" customFormat="false" ht="15" hidden="false" customHeight="false" outlineLevel="0" collapsed="false">
      <c r="A8" s="12" t="s">
        <v>55</v>
      </c>
      <c r="B8" s="13" t="n">
        <v>0.058</v>
      </c>
      <c r="C8" s="14" t="n">
        <v>9.4</v>
      </c>
      <c r="D8" s="13" t="n">
        <v>0.026</v>
      </c>
      <c r="E8" s="14" t="n">
        <v>-2</v>
      </c>
      <c r="F8" s="13" t="n">
        <f aca="false">K8/L8-1</f>
        <v>0.0418848167539267</v>
      </c>
      <c r="G8" s="14" t="n">
        <f aca="false">(K8-L8)/1000</f>
        <v>0.16</v>
      </c>
      <c r="H8" s="13" t="n">
        <v>0.071</v>
      </c>
      <c r="I8" s="14" t="n">
        <v>7.4</v>
      </c>
      <c r="K8" s="15" t="n">
        <v>3980</v>
      </c>
      <c r="L8" s="15" t="n">
        <v>3820</v>
      </c>
    </row>
    <row r="9" customFormat="false" ht="15" hidden="false" customHeight="false" outlineLevel="0" collapsed="false">
      <c r="A9" s="12" t="s">
        <v>56</v>
      </c>
      <c r="B9" s="13" t="n">
        <v>0.027</v>
      </c>
      <c r="C9" s="14" t="n">
        <v>4.2</v>
      </c>
      <c r="D9" s="13" t="n">
        <v>0.019</v>
      </c>
      <c r="E9" s="14" t="n">
        <v>-1.1</v>
      </c>
      <c r="F9" s="13" t="n">
        <f aca="false">K9/L9-1</f>
        <v>0.0280777537796977</v>
      </c>
      <c r="G9" s="14" t="n">
        <f aca="false">(K9-L9)/1000</f>
        <v>0.13</v>
      </c>
      <c r="H9" s="13" t="n">
        <v>0.033</v>
      </c>
      <c r="I9" s="14" t="n">
        <v>3.1</v>
      </c>
      <c r="K9" s="15" t="n">
        <v>4760</v>
      </c>
      <c r="L9" s="15" t="n">
        <v>4630</v>
      </c>
    </row>
    <row r="10" customFormat="false" ht="15" hidden="false" customHeight="false" outlineLevel="0" collapsed="false">
      <c r="A10" s="12" t="s">
        <v>57</v>
      </c>
      <c r="B10" s="13" t="n">
        <v>0.041</v>
      </c>
      <c r="C10" s="14" t="n">
        <v>5.9</v>
      </c>
      <c r="D10" s="13" t="n">
        <v>0.022</v>
      </c>
      <c r="E10" s="14" t="n">
        <v>-1.6</v>
      </c>
      <c r="F10" s="13" t="n">
        <f aca="false">K10/L10-1</f>
        <v>0.0381231671554252</v>
      </c>
      <c r="G10" s="14" t="n">
        <f aca="false">(K10-L10)/1000</f>
        <v>0.13</v>
      </c>
      <c r="H10" s="13" t="n">
        <v>0.049</v>
      </c>
      <c r="I10" s="14" t="n">
        <v>4.3</v>
      </c>
      <c r="K10" s="15" t="n">
        <v>3540</v>
      </c>
      <c r="L10" s="15" t="n">
        <v>3410</v>
      </c>
    </row>
    <row r="11" customFormat="false" ht="15" hidden="false" customHeight="false" outlineLevel="0" collapsed="false">
      <c r="A11" s="12" t="s">
        <v>58</v>
      </c>
      <c r="B11" s="13" t="n">
        <v>0.019</v>
      </c>
      <c r="C11" s="14" t="n">
        <v>2.3</v>
      </c>
      <c r="D11" s="13" t="n">
        <v>0.028</v>
      </c>
      <c r="E11" s="14" t="n">
        <v>-1.8</v>
      </c>
      <c r="F11" s="13" t="n">
        <f aca="false">K11/L11-1</f>
        <v>0.0383275261324041</v>
      </c>
      <c r="G11" s="14" t="n">
        <f aca="false">(K11-L11)/1000</f>
        <v>0.11</v>
      </c>
      <c r="H11" s="13" t="n">
        <v>0.012</v>
      </c>
      <c r="I11" s="14" t="n">
        <v>0.5</v>
      </c>
      <c r="K11" s="15" t="n">
        <v>2980</v>
      </c>
      <c r="L11" s="15" t="n">
        <v>2870</v>
      </c>
    </row>
    <row r="12" customFormat="false" ht="15" hidden="false" customHeight="false" outlineLevel="0" collapsed="false">
      <c r="A12" s="12" t="s">
        <v>59</v>
      </c>
      <c r="B12" s="13" t="n">
        <v>0.036</v>
      </c>
      <c r="C12" s="14" t="n">
        <v>4.1</v>
      </c>
      <c r="D12" s="13" t="n">
        <v>0.017</v>
      </c>
      <c r="E12" s="14" t="n">
        <v>-0.9</v>
      </c>
      <c r="F12" s="13" t="n">
        <f aca="false">K12/L12-1</f>
        <v>0.0288461538461537</v>
      </c>
      <c r="G12" s="14" t="n">
        <f aca="false">(K12-L12)/1000</f>
        <v>0.09</v>
      </c>
      <c r="H12" s="13" t="n">
        <v>0.044</v>
      </c>
      <c r="I12" s="14" t="n">
        <v>3.2</v>
      </c>
      <c r="K12" s="15" t="n">
        <v>3210</v>
      </c>
      <c r="L12" s="15" t="n">
        <v>3120</v>
      </c>
    </row>
    <row r="13" customFormat="false" ht="15" hidden="false" customHeight="false" outlineLevel="0" collapsed="false">
      <c r="A13" s="0" t="s">
        <v>60</v>
      </c>
      <c r="B13" s="13" t="n">
        <v>0.024</v>
      </c>
      <c r="C13" s="14" t="n">
        <v>7.5</v>
      </c>
      <c r="D13" s="13" t="n">
        <v>0.02</v>
      </c>
      <c r="E13" s="14" t="n">
        <v>-2.4</v>
      </c>
      <c r="F13" s="13" t="n">
        <f aca="false">K13/L13-1</f>
        <v>0.0744985673352436</v>
      </c>
      <c r="G13" s="14" t="n">
        <f aca="false">(K13-L13)/1000</f>
        <v>0.26</v>
      </c>
      <c r="H13" s="13" t="n">
        <v>0.029</v>
      </c>
      <c r="I13" s="14" t="n">
        <v>4.8</v>
      </c>
      <c r="K13" s="15" t="n">
        <f aca="false">K14-SUM(K5:K12)</f>
        <v>3750</v>
      </c>
      <c r="L13" s="15" t="n">
        <f aca="false">L14-SUM(L5:L12)</f>
        <v>3490</v>
      </c>
    </row>
    <row r="14" customFormat="false" ht="15" hidden="false" customHeight="false" outlineLevel="0" collapsed="false">
      <c r="A14" s="0" t="s">
        <v>61</v>
      </c>
      <c r="B14" s="13" t="n">
        <v>0.034</v>
      </c>
      <c r="C14" s="14" t="n">
        <v>52.4</v>
      </c>
      <c r="D14" s="13" t="n">
        <v>0.022</v>
      </c>
      <c r="E14" s="14" t="n">
        <v>-16.5</v>
      </c>
      <c r="F14" s="13" t="n">
        <f aca="false">K14/L14-1</f>
        <v>0.038939967550027</v>
      </c>
      <c r="G14" s="14" t="n">
        <f aca="false">(K14-L14)/1000</f>
        <v>1.44</v>
      </c>
      <c r="H14" s="13" t="n">
        <v>0.041</v>
      </c>
      <c r="I14" s="14" t="n">
        <v>33.6</v>
      </c>
      <c r="K14" s="15" t="n">
        <v>38420</v>
      </c>
      <c r="L14" s="15" t="n">
        <v>36980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G1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  <col collapsed="false" customWidth="true" hidden="false" outlineLevel="0" max="7" min="7" style="16" width="10.29"/>
  </cols>
  <sheetData>
    <row r="1" customFormat="false" ht="18.75" hidden="false" customHeight="true" outlineLevel="0" collapsed="false">
      <c r="A1" s="3" t="s">
        <v>62</v>
      </c>
      <c r="G1" s="11"/>
    </row>
    <row r="2" customFormat="false" ht="15" hidden="false" customHeight="false" outlineLevel="0" collapsed="false">
      <c r="A2" s="4" t="s">
        <v>63</v>
      </c>
    </row>
    <row r="4" customFormat="false" ht="15" hidden="false" customHeight="false" outlineLevel="0" collapsed="false">
      <c r="A4" s="0" t="s">
        <v>64</v>
      </c>
      <c r="B4" s="1" t="s">
        <v>65</v>
      </c>
      <c r="C4" s="1" t="s">
        <v>66</v>
      </c>
      <c r="D4" s="1" t="s">
        <v>67</v>
      </c>
      <c r="E4" s="1" t="s">
        <v>68</v>
      </c>
    </row>
    <row r="5" customFormat="false" ht="15" hidden="false" customHeight="false" outlineLevel="0" collapsed="false">
      <c r="A5" s="0" t="s">
        <v>69</v>
      </c>
      <c r="B5" s="17" t="n">
        <v>95.4</v>
      </c>
      <c r="C5" s="13" t="n">
        <f aca="false">B5/G5-1</f>
        <v>-0.0265306122448979</v>
      </c>
      <c r="D5" s="13" t="n">
        <f aca="false">B5/E5-1</f>
        <v>0.0460526315789473</v>
      </c>
      <c r="E5" s="17" t="n">
        <v>91.2</v>
      </c>
      <c r="G5" s="16" t="n">
        <v>98</v>
      </c>
    </row>
    <row r="6" customFormat="false" ht="15" hidden="false" customHeight="false" outlineLevel="0" collapsed="false">
      <c r="A6" s="0" t="s">
        <v>70</v>
      </c>
      <c r="B6" s="17" t="n">
        <v>78.6</v>
      </c>
      <c r="C6" s="13" t="n">
        <f aca="false">B6/G6-1</f>
        <v>-0.0175000000000001</v>
      </c>
      <c r="D6" s="13" t="n">
        <f aca="false">B6/E6-1</f>
        <v>0.0369393139841687</v>
      </c>
      <c r="E6" s="17" t="n">
        <v>75.8</v>
      </c>
      <c r="G6" s="16" t="n">
        <v>80</v>
      </c>
    </row>
    <row r="7" customFormat="false" ht="15" hidden="false" customHeight="false" outlineLevel="0" collapsed="false">
      <c r="A7" s="0" t="s">
        <v>71</v>
      </c>
      <c r="B7" s="17" t="n">
        <v>42.3</v>
      </c>
      <c r="C7" s="13" t="n">
        <f aca="false">B7/G7-1</f>
        <v>-0.0275862068965518</v>
      </c>
      <c r="D7" s="13" t="n">
        <f aca="false">B7/E7-1</f>
        <v>0.0317073170731708</v>
      </c>
      <c r="E7" s="17" t="n">
        <v>41</v>
      </c>
      <c r="G7" s="18" t="n">
        <v>43.5</v>
      </c>
    </row>
    <row r="8" customFormat="false" ht="15" hidden="false" customHeight="false" outlineLevel="0" collapsed="false">
      <c r="A8" s="0" t="s">
        <v>72</v>
      </c>
      <c r="B8" s="17" t="n">
        <f aca="false">B9-SUM(B5:B7)</f>
        <v>52.2</v>
      </c>
      <c r="C8" s="13" t="n">
        <f aca="false">B8/G8-1</f>
        <v>-0.00571428571428589</v>
      </c>
      <c r="D8" s="13" t="n">
        <f aca="false">B8/E8-1</f>
        <v>0.0439999999999998</v>
      </c>
      <c r="E8" s="17" t="n">
        <f aca="false">E9-SUM(E5:E7)</f>
        <v>50</v>
      </c>
      <c r="G8" s="16" t="n">
        <f aca="false">G9-SUM(G5:G7)</f>
        <v>52.5</v>
      </c>
    </row>
    <row r="9" customFormat="false" ht="15" hidden="false" customHeight="false" outlineLevel="0" collapsed="false">
      <c r="A9" s="0" t="s">
        <v>73</v>
      </c>
      <c r="B9" s="17" t="n">
        <v>268.5</v>
      </c>
      <c r="C9" s="13" t="n">
        <f aca="false">B9/G9-1</f>
        <v>-0.0200729927007299</v>
      </c>
      <c r="D9" s="13" t="n">
        <f aca="false">B9/E9-1</f>
        <v>0.0406976744186047</v>
      </c>
      <c r="E9" s="17" t="n">
        <v>258</v>
      </c>
      <c r="G9" s="16" t="n">
        <v>274</v>
      </c>
    </row>
    <row r="10" customFormat="false" ht="15" hidden="false" customHeight="false" outlineLevel="0" collapsed="false">
      <c r="E10" s="17"/>
    </row>
    <row r="13" customFormat="false" ht="15" hidden="false" customHeight="false" outlineLevel="0" collapsed="false">
      <c r="G13" s="11"/>
    </row>
    <row r="19" customFormat="false" ht="15" hidden="false" customHeight="false" outlineLevel="0" collapsed="false">
      <c r="G19" s="11"/>
    </row>
    <row r="25" customFormat="false" ht="15" hidden="false" customHeight="false" outlineLevel="0" collapsed="false">
      <c r="G25" s="11"/>
    </row>
    <row r="31" customFormat="false" ht="15" hidden="false" customHeight="false" outlineLevel="0" collapsed="false">
      <c r="G31" s="11"/>
    </row>
    <row r="37" customFormat="false" ht="15" hidden="false" customHeight="false" outlineLevel="0" collapsed="false">
      <c r="G37" s="11"/>
    </row>
    <row r="43" customFormat="false" ht="15" hidden="false" customHeight="false" outlineLevel="0" collapsed="false">
      <c r="G43" s="11"/>
    </row>
    <row r="49" customFormat="false" ht="15" hidden="false" customHeight="false" outlineLevel="0" collapsed="false">
      <c r="G49" s="11"/>
    </row>
    <row r="55" customFormat="false" ht="15" hidden="false" customHeight="false" outlineLevel="0" collapsed="false">
      <c r="G55" s="11"/>
    </row>
    <row r="61" customFormat="false" ht="15" hidden="false" customHeight="false" outlineLevel="0" collapsed="false">
      <c r="G61" s="11"/>
    </row>
    <row r="67" customFormat="false" ht="15" hidden="false" customHeight="false" outlineLevel="0" collapsed="false">
      <c r="G67" s="11"/>
    </row>
    <row r="73" customFormat="false" ht="15" hidden="false" customHeight="false" outlineLevel="0" collapsed="false">
      <c r="G73" s="11"/>
    </row>
    <row r="79" customFormat="false" ht="15" hidden="false" customHeight="false" outlineLevel="0" collapsed="false">
      <c r="G79" s="11"/>
    </row>
    <row r="85" customFormat="false" ht="15" hidden="false" customHeight="false" outlineLevel="0" collapsed="false">
      <c r="G85" s="11"/>
    </row>
    <row r="91" customFormat="false" ht="15" hidden="false" customHeight="false" outlineLevel="0" collapsed="false">
      <c r="G91" s="11"/>
    </row>
    <row r="97" customFormat="false" ht="15" hidden="false" customHeight="false" outlineLevel="0" collapsed="false">
      <c r="G97" s="11"/>
    </row>
    <row r="103" customFormat="false" ht="15" hidden="false" customHeight="false" outlineLevel="0" collapsed="false">
      <c r="G103" s="11"/>
    </row>
    <row r="109" customFormat="false" ht="15" hidden="false" customHeight="false" outlineLevel="0" collapsed="false">
      <c r="G109" s="11"/>
    </row>
    <row r="115" customFormat="false" ht="15" hidden="false" customHeight="false" outlineLevel="0" collapsed="false">
      <c r="G115" s="11"/>
    </row>
    <row r="121" customFormat="false" ht="15" hidden="false" customHeight="false" outlineLevel="0" collapsed="false">
      <c r="G121" s="11"/>
    </row>
    <row r="127" customFormat="false" ht="15" hidden="false" customHeight="false" outlineLevel="0" collapsed="false">
      <c r="G127" s="11"/>
    </row>
    <row r="133" customFormat="false" ht="15" hidden="false" customHeight="false" outlineLevel="0" collapsed="false">
      <c r="G133" s="11"/>
    </row>
    <row r="139" customFormat="false" ht="15" hidden="false" customHeight="false" outlineLevel="0" collapsed="false">
      <c r="G139" s="11"/>
    </row>
    <row r="145" customFormat="false" ht="15" hidden="false" customHeight="false" outlineLevel="0" collapsed="false">
      <c r="G145" s="11"/>
    </row>
    <row r="151" customFormat="false" ht="15" hidden="false" customHeight="false" outlineLevel="0" collapsed="false">
      <c r="G151" s="11"/>
    </row>
    <row r="157" customFormat="false" ht="15" hidden="false" customHeight="false" outlineLevel="0" collapsed="false">
      <c r="G157" s="11"/>
    </row>
    <row r="163" customFormat="false" ht="15" hidden="false" customHeight="false" outlineLevel="0" collapsed="false">
      <c r="G163" s="11"/>
    </row>
    <row r="169" customFormat="false" ht="15" hidden="false" customHeight="false" outlineLevel="0" collapsed="false">
      <c r="G169" s="11"/>
    </row>
    <row r="175" customFormat="false" ht="15" hidden="false" customHeight="false" outlineLevel="0" collapsed="false">
      <c r="G175" s="11"/>
    </row>
    <row r="181" customFormat="false" ht="15" hidden="false" customHeight="false" outlineLevel="0" collapsed="false">
      <c r="G181" s="11"/>
    </row>
    <row r="187" customFormat="false" ht="15" hidden="false" customHeight="false" outlineLevel="0" collapsed="false">
      <c r="G187" s="11"/>
    </row>
    <row r="193" customFormat="false" ht="15" hidden="false" customHeight="false" outlineLevel="0" collapsed="false">
      <c r="G193" s="11"/>
    </row>
    <row r="199" customFormat="false" ht="15" hidden="false" customHeight="false" outlineLevel="0" collapsed="false">
      <c r="G199" s="11"/>
    </row>
    <row r="205" customFormat="false" ht="15" hidden="false" customHeight="false" outlineLevel="0" collapsed="false">
      <c r="G205" s="11"/>
    </row>
    <row r="211" customFormat="false" ht="15" hidden="false" customHeight="false" outlineLevel="0" collapsed="false">
      <c r="G211" s="11"/>
    </row>
    <row r="217" customFormat="false" ht="15" hidden="false" customHeight="false" outlineLevel="0" collapsed="false">
      <c r="G217" s="11"/>
    </row>
    <row r="223" customFormat="false" ht="15" hidden="false" customHeight="false" outlineLevel="0" collapsed="false">
      <c r="G223" s="11"/>
    </row>
    <row r="229" customFormat="false" ht="15" hidden="false" customHeight="false" outlineLevel="0" collapsed="false">
      <c r="G229" s="11"/>
    </row>
    <row r="235" customFormat="false" ht="15" hidden="false" customHeight="false" outlineLevel="0" collapsed="false">
      <c r="G235" s="11"/>
    </row>
    <row r="241" customFormat="false" ht="15" hidden="false" customHeight="false" outlineLevel="0" collapsed="false">
      <c r="G241" s="11"/>
    </row>
    <row r="247" customFormat="false" ht="15" hidden="false" customHeight="false" outlineLevel="0" collapsed="false">
      <c r="G247" s="11"/>
    </row>
    <row r="253" customFormat="false" ht="15" hidden="false" customHeight="false" outlineLevel="0" collapsed="false">
      <c r="G253" s="11"/>
    </row>
    <row r="259" customFormat="false" ht="15" hidden="false" customHeight="false" outlineLevel="0" collapsed="false">
      <c r="G259" s="11"/>
    </row>
    <row r="265" customFormat="false" ht="15" hidden="false" customHeight="false" outlineLevel="0" collapsed="false">
      <c r="G265" s="11"/>
    </row>
    <row r="271" customFormat="false" ht="15" hidden="false" customHeight="false" outlineLevel="0" collapsed="false">
      <c r="G271" s="11"/>
    </row>
    <row r="277" customFormat="false" ht="15" hidden="false" customHeight="false" outlineLevel="0" collapsed="false">
      <c r="G277" s="11"/>
    </row>
    <row r="283" customFormat="false" ht="15" hidden="false" customHeight="false" outlineLevel="0" collapsed="false">
      <c r="G283" s="11"/>
    </row>
    <row r="289" customFormat="false" ht="15" hidden="false" customHeight="false" outlineLevel="0" collapsed="false">
      <c r="G289" s="11"/>
    </row>
    <row r="295" customFormat="false" ht="15" hidden="false" customHeight="false" outlineLevel="0" collapsed="false">
      <c r="G295" s="11"/>
    </row>
    <row r="301" customFormat="false" ht="15" hidden="false" customHeight="false" outlineLevel="0" collapsed="false">
      <c r="G301" s="11"/>
    </row>
    <row r="307" customFormat="false" ht="15" hidden="false" customHeight="false" outlineLevel="0" collapsed="false">
      <c r="G307" s="11"/>
    </row>
    <row r="313" customFormat="false" ht="15" hidden="false" customHeight="false" outlineLevel="0" collapsed="false">
      <c r="G313" s="11"/>
    </row>
    <row r="319" customFormat="false" ht="15" hidden="false" customHeight="false" outlineLevel="0" collapsed="false">
      <c r="G319" s="11"/>
    </row>
    <row r="325" customFormat="false" ht="15" hidden="false" customHeight="false" outlineLevel="0" collapsed="false">
      <c r="G325" s="11"/>
    </row>
    <row r="331" customFormat="false" ht="15" hidden="false" customHeight="false" outlineLevel="0" collapsed="false">
      <c r="G331" s="11"/>
    </row>
    <row r="337" customFormat="false" ht="15" hidden="false" customHeight="false" outlineLevel="0" collapsed="false">
      <c r="G337" s="11"/>
    </row>
    <row r="343" customFormat="false" ht="15" hidden="false" customHeight="false" outlineLevel="0" collapsed="false">
      <c r="G343" s="11"/>
    </row>
    <row r="349" customFormat="false" ht="15" hidden="false" customHeight="false" outlineLevel="0" collapsed="false">
      <c r="G349" s="11"/>
    </row>
    <row r="355" customFormat="false" ht="15" hidden="false" customHeight="false" outlineLevel="0" collapsed="false">
      <c r="G355" s="11"/>
    </row>
    <row r="361" customFormat="false" ht="15" hidden="false" customHeight="false" outlineLevel="0" collapsed="false">
      <c r="G361" s="11"/>
    </row>
    <row r="367" customFormat="false" ht="15" hidden="false" customHeight="false" outlineLevel="0" collapsed="false">
      <c r="G367" s="11"/>
    </row>
    <row r="373" customFormat="false" ht="15" hidden="false" customHeight="false" outlineLevel="0" collapsed="false">
      <c r="G373" s="11"/>
    </row>
    <row r="379" customFormat="false" ht="15" hidden="false" customHeight="false" outlineLevel="0" collapsed="false">
      <c r="G379" s="11"/>
    </row>
    <row r="385" customFormat="false" ht="15" hidden="false" customHeight="false" outlineLevel="0" collapsed="false">
      <c r="G385" s="11"/>
    </row>
    <row r="391" customFormat="false" ht="15" hidden="false" customHeight="false" outlineLevel="0" collapsed="false">
      <c r="G391" s="11"/>
    </row>
    <row r="397" customFormat="false" ht="15" hidden="false" customHeight="false" outlineLevel="0" collapsed="false">
      <c r="G397" s="11"/>
    </row>
    <row r="403" customFormat="false" ht="15" hidden="false" customHeight="false" outlineLevel="0" collapsed="false">
      <c r="G403" s="11"/>
    </row>
    <row r="409" customFormat="false" ht="15" hidden="false" customHeight="false" outlineLevel="0" collapsed="false">
      <c r="G409" s="11"/>
    </row>
    <row r="415" customFormat="false" ht="15" hidden="false" customHeight="false" outlineLevel="0" collapsed="false">
      <c r="G415" s="11"/>
    </row>
    <row r="421" customFormat="false" ht="15" hidden="false" customHeight="false" outlineLevel="0" collapsed="false">
      <c r="G421" s="11"/>
    </row>
    <row r="427" customFormat="false" ht="15" hidden="false" customHeight="false" outlineLevel="0" collapsed="false">
      <c r="G427" s="11"/>
    </row>
    <row r="433" customFormat="false" ht="15" hidden="false" customHeight="false" outlineLevel="0" collapsed="false">
      <c r="G433" s="11"/>
    </row>
    <row r="439" customFormat="false" ht="15" hidden="false" customHeight="false" outlineLevel="0" collapsed="false">
      <c r="G439" s="11"/>
    </row>
    <row r="445" customFormat="false" ht="15" hidden="false" customHeight="false" outlineLevel="0" collapsed="false">
      <c r="G445" s="11"/>
    </row>
    <row r="451" customFormat="false" ht="15" hidden="false" customHeight="false" outlineLevel="0" collapsed="false">
      <c r="G451" s="11"/>
    </row>
    <row r="457" customFormat="false" ht="15" hidden="false" customHeight="false" outlineLevel="0" collapsed="false">
      <c r="G457" s="11"/>
    </row>
    <row r="463" customFormat="false" ht="15" hidden="false" customHeight="false" outlineLevel="0" collapsed="false">
      <c r="G463" s="11"/>
    </row>
    <row r="469" customFormat="false" ht="15" hidden="false" customHeight="false" outlineLevel="0" collapsed="false">
      <c r="G469" s="11"/>
    </row>
    <row r="475" customFormat="false" ht="15" hidden="false" customHeight="false" outlineLevel="0" collapsed="false">
      <c r="G475" s="11"/>
    </row>
    <row r="481" customFormat="false" ht="15" hidden="false" customHeight="false" outlineLevel="0" collapsed="false">
      <c r="G481" s="11"/>
    </row>
    <row r="487" customFormat="false" ht="15" hidden="false" customHeight="false" outlineLevel="0" collapsed="false">
      <c r="G487" s="11"/>
    </row>
    <row r="493" customFormat="false" ht="15" hidden="false" customHeight="false" outlineLevel="0" collapsed="false">
      <c r="G493" s="11"/>
    </row>
    <row r="499" customFormat="false" ht="15" hidden="false" customHeight="false" outlineLevel="0" collapsed="false">
      <c r="G499" s="11"/>
    </row>
    <row r="505" customFormat="false" ht="15" hidden="false" customHeight="false" outlineLevel="0" collapsed="false">
      <c r="G505" s="11"/>
    </row>
    <row r="511" customFormat="false" ht="15" hidden="false" customHeight="false" outlineLevel="0" collapsed="false">
      <c r="G511" s="11"/>
    </row>
    <row r="517" customFormat="false" ht="15" hidden="false" customHeight="false" outlineLevel="0" collapsed="false">
      <c r="G517" s="11"/>
    </row>
    <row r="523" customFormat="false" ht="15" hidden="false" customHeight="false" outlineLevel="0" collapsed="false">
      <c r="G523" s="11"/>
    </row>
    <row r="529" customFormat="false" ht="15" hidden="false" customHeight="false" outlineLevel="0" collapsed="false">
      <c r="G529" s="11"/>
    </row>
    <row r="535" customFormat="false" ht="15" hidden="false" customHeight="false" outlineLevel="0" collapsed="false">
      <c r="G535" s="11"/>
    </row>
    <row r="541" customFormat="false" ht="15" hidden="false" customHeight="false" outlineLevel="0" collapsed="false">
      <c r="G541" s="11"/>
    </row>
    <row r="547" customFormat="false" ht="15" hidden="false" customHeight="false" outlineLevel="0" collapsed="false">
      <c r="G547" s="11"/>
    </row>
    <row r="553" customFormat="false" ht="15" hidden="false" customHeight="false" outlineLevel="0" collapsed="false">
      <c r="G553" s="11"/>
    </row>
    <row r="559" customFormat="false" ht="15" hidden="false" customHeight="false" outlineLevel="0" collapsed="false">
      <c r="G559" s="11"/>
    </row>
    <row r="565" customFormat="false" ht="15" hidden="false" customHeight="false" outlineLevel="0" collapsed="false">
      <c r="G565" s="11"/>
    </row>
    <row r="571" customFormat="false" ht="15" hidden="false" customHeight="false" outlineLevel="0" collapsed="false">
      <c r="G571" s="11"/>
    </row>
    <row r="577" customFormat="false" ht="15" hidden="false" customHeight="false" outlineLevel="0" collapsed="false">
      <c r="G577" s="11"/>
    </row>
    <row r="583" customFormat="false" ht="15" hidden="false" customHeight="false" outlineLevel="0" collapsed="false">
      <c r="G583" s="11"/>
    </row>
    <row r="589" customFormat="false" ht="15" hidden="false" customHeight="false" outlineLevel="0" collapsed="false">
      <c r="G589" s="11"/>
    </row>
    <row r="595" customFormat="false" ht="15" hidden="false" customHeight="false" outlineLevel="0" collapsed="false">
      <c r="G595" s="11"/>
    </row>
    <row r="601" customFormat="false" ht="15" hidden="false" customHeight="false" outlineLevel="0" collapsed="false">
      <c r="G601" s="11"/>
    </row>
    <row r="607" customFormat="false" ht="15" hidden="false" customHeight="false" outlineLevel="0" collapsed="false">
      <c r="G607" s="11"/>
    </row>
    <row r="613" customFormat="false" ht="15" hidden="false" customHeight="false" outlineLevel="0" collapsed="false">
      <c r="G613" s="11"/>
    </row>
    <row r="619" customFormat="false" ht="15" hidden="false" customHeight="false" outlineLevel="0" collapsed="false">
      <c r="G619" s="11"/>
    </row>
    <row r="625" customFormat="false" ht="15" hidden="false" customHeight="false" outlineLevel="0" collapsed="false">
      <c r="G625" s="11"/>
    </row>
    <row r="631" customFormat="false" ht="15" hidden="false" customHeight="false" outlineLevel="0" collapsed="false">
      <c r="G631" s="11"/>
    </row>
    <row r="637" customFormat="false" ht="15" hidden="false" customHeight="false" outlineLevel="0" collapsed="false">
      <c r="G637" s="11"/>
    </row>
    <row r="643" customFormat="false" ht="15" hidden="false" customHeight="false" outlineLevel="0" collapsed="false">
      <c r="G643" s="11"/>
    </row>
    <row r="649" customFormat="false" ht="15" hidden="false" customHeight="false" outlineLevel="0" collapsed="false">
      <c r="G649" s="11"/>
    </row>
    <row r="655" customFormat="false" ht="15" hidden="false" customHeight="false" outlineLevel="0" collapsed="false">
      <c r="G655" s="11"/>
    </row>
    <row r="661" customFormat="false" ht="15" hidden="false" customHeight="false" outlineLevel="0" collapsed="false">
      <c r="G661" s="11"/>
    </row>
    <row r="667" customFormat="false" ht="15" hidden="false" customHeight="false" outlineLevel="0" collapsed="false">
      <c r="G667" s="11"/>
    </row>
    <row r="673" customFormat="false" ht="15" hidden="false" customHeight="false" outlineLevel="0" collapsed="false">
      <c r="G673" s="11"/>
    </row>
    <row r="679" customFormat="false" ht="15" hidden="false" customHeight="false" outlineLevel="0" collapsed="false">
      <c r="G679" s="11"/>
    </row>
    <row r="685" customFormat="false" ht="15" hidden="false" customHeight="false" outlineLevel="0" collapsed="false">
      <c r="G685" s="11"/>
    </row>
    <row r="691" customFormat="false" ht="15" hidden="false" customHeight="false" outlineLevel="0" collapsed="false">
      <c r="G691" s="11"/>
    </row>
    <row r="697" customFormat="false" ht="15" hidden="false" customHeight="false" outlineLevel="0" collapsed="false">
      <c r="G697" s="11"/>
    </row>
    <row r="703" customFormat="false" ht="15" hidden="false" customHeight="false" outlineLevel="0" collapsed="false">
      <c r="G703" s="11"/>
    </row>
    <row r="709" customFormat="false" ht="15" hidden="false" customHeight="false" outlineLevel="0" collapsed="false">
      <c r="G709" s="11"/>
    </row>
    <row r="715" customFormat="false" ht="15" hidden="false" customHeight="false" outlineLevel="0" collapsed="false">
      <c r="G715" s="11"/>
    </row>
    <row r="721" customFormat="false" ht="15" hidden="false" customHeight="false" outlineLevel="0" collapsed="false">
      <c r="G721" s="11"/>
    </row>
    <row r="727" customFormat="false" ht="15" hidden="false" customHeight="false" outlineLevel="0" collapsed="false">
      <c r="G727" s="11"/>
    </row>
    <row r="733" customFormat="false" ht="15" hidden="false" customHeight="false" outlineLevel="0" collapsed="false">
      <c r="G733" s="11"/>
    </row>
    <row r="739" customFormat="false" ht="15" hidden="false" customHeight="false" outlineLevel="0" collapsed="false">
      <c r="G739" s="11"/>
    </row>
    <row r="745" customFormat="false" ht="15" hidden="false" customHeight="false" outlineLevel="0" collapsed="false">
      <c r="G745" s="11"/>
    </row>
    <row r="751" customFormat="false" ht="15" hidden="false" customHeight="false" outlineLevel="0" collapsed="false">
      <c r="G751" s="11"/>
    </row>
    <row r="757" customFormat="false" ht="15" hidden="false" customHeight="false" outlineLevel="0" collapsed="false">
      <c r="G757" s="11"/>
    </row>
    <row r="763" customFormat="false" ht="15" hidden="false" customHeight="false" outlineLevel="0" collapsed="false">
      <c r="G763" s="11"/>
    </row>
    <row r="769" customFormat="false" ht="15" hidden="false" customHeight="false" outlineLevel="0" collapsed="false">
      <c r="G769" s="11"/>
    </row>
    <row r="775" customFormat="false" ht="15" hidden="false" customHeight="false" outlineLevel="0" collapsed="false">
      <c r="G775" s="11"/>
    </row>
    <row r="781" customFormat="false" ht="15" hidden="false" customHeight="false" outlineLevel="0" collapsed="false">
      <c r="G781" s="11"/>
    </row>
    <row r="787" customFormat="false" ht="15" hidden="false" customHeight="false" outlineLevel="0" collapsed="false">
      <c r="G787" s="11"/>
    </row>
    <row r="793" customFormat="false" ht="15" hidden="false" customHeight="false" outlineLevel="0" collapsed="false">
      <c r="G793" s="11"/>
    </row>
    <row r="799" customFormat="false" ht="15" hidden="false" customHeight="false" outlineLevel="0" collapsed="false">
      <c r="G799" s="11"/>
    </row>
    <row r="805" customFormat="false" ht="15" hidden="false" customHeight="false" outlineLevel="0" collapsed="false">
      <c r="G805" s="11"/>
    </row>
    <row r="811" customFormat="false" ht="15" hidden="false" customHeight="false" outlineLevel="0" collapsed="false">
      <c r="G811" s="11"/>
    </row>
    <row r="817" customFormat="false" ht="15" hidden="false" customHeight="false" outlineLevel="0" collapsed="false">
      <c r="G817" s="11"/>
    </row>
    <row r="823" customFormat="false" ht="15" hidden="false" customHeight="false" outlineLevel="0" collapsed="false">
      <c r="G823" s="11"/>
    </row>
    <row r="829" customFormat="false" ht="15" hidden="false" customHeight="false" outlineLevel="0" collapsed="false">
      <c r="G829" s="11"/>
    </row>
    <row r="835" customFormat="false" ht="15" hidden="false" customHeight="false" outlineLevel="0" collapsed="false">
      <c r="G835" s="11"/>
    </row>
    <row r="841" customFormat="false" ht="15" hidden="false" customHeight="false" outlineLevel="0" collapsed="false">
      <c r="G841" s="11"/>
    </row>
    <row r="847" customFormat="false" ht="15" hidden="false" customHeight="false" outlineLevel="0" collapsed="false">
      <c r="G847" s="11"/>
    </row>
    <row r="853" customFormat="false" ht="15" hidden="false" customHeight="false" outlineLevel="0" collapsed="false">
      <c r="G853" s="11"/>
    </row>
    <row r="859" customFormat="false" ht="15" hidden="false" customHeight="false" outlineLevel="0" collapsed="false">
      <c r="G859" s="11"/>
    </row>
    <row r="865" customFormat="false" ht="15" hidden="false" customHeight="false" outlineLevel="0" collapsed="false">
      <c r="G865" s="11"/>
    </row>
    <row r="871" customFormat="false" ht="15" hidden="false" customHeight="false" outlineLevel="0" collapsed="false">
      <c r="G871" s="11"/>
    </row>
    <row r="877" customFormat="false" ht="15" hidden="false" customHeight="false" outlineLevel="0" collapsed="false">
      <c r="G877" s="11"/>
    </row>
    <row r="883" customFormat="false" ht="15" hidden="false" customHeight="false" outlineLevel="0" collapsed="false">
      <c r="G883" s="11"/>
    </row>
    <row r="889" customFormat="false" ht="15" hidden="false" customHeight="false" outlineLevel="0" collapsed="false">
      <c r="G889" s="11"/>
    </row>
    <row r="895" customFormat="false" ht="15" hidden="false" customHeight="false" outlineLevel="0" collapsed="false">
      <c r="G895" s="11"/>
    </row>
    <row r="901" customFormat="false" ht="15" hidden="false" customHeight="false" outlineLevel="0" collapsed="false">
      <c r="G901" s="11"/>
    </row>
    <row r="907" customFormat="false" ht="15" hidden="false" customHeight="false" outlineLevel="0" collapsed="false">
      <c r="G907" s="11"/>
    </row>
    <row r="913" customFormat="false" ht="15" hidden="false" customHeight="false" outlineLevel="0" collapsed="false">
      <c r="G913" s="11"/>
    </row>
    <row r="919" customFormat="false" ht="15" hidden="false" customHeight="false" outlineLevel="0" collapsed="false">
      <c r="G919" s="11"/>
    </row>
    <row r="925" customFormat="false" ht="15" hidden="false" customHeight="false" outlineLevel="0" collapsed="false">
      <c r="G925" s="11"/>
    </row>
    <row r="931" customFormat="false" ht="15" hidden="false" customHeight="false" outlineLevel="0" collapsed="false">
      <c r="G931" s="11"/>
    </row>
    <row r="937" customFormat="false" ht="15" hidden="false" customHeight="false" outlineLevel="0" collapsed="false">
      <c r="G937" s="11"/>
    </row>
    <row r="943" customFormat="false" ht="15" hidden="false" customHeight="false" outlineLevel="0" collapsed="false">
      <c r="G943" s="11"/>
    </row>
    <row r="949" customFormat="false" ht="15" hidden="false" customHeight="false" outlineLevel="0" collapsed="false">
      <c r="G949" s="11"/>
    </row>
    <row r="955" customFormat="false" ht="15" hidden="false" customHeight="false" outlineLevel="0" collapsed="false">
      <c r="G955" s="11"/>
    </row>
    <row r="961" customFormat="false" ht="15" hidden="false" customHeight="false" outlineLevel="0" collapsed="false">
      <c r="G961" s="11"/>
    </row>
    <row r="967" customFormat="false" ht="15" hidden="false" customHeight="false" outlineLevel="0" collapsed="false">
      <c r="G967" s="11"/>
    </row>
    <row r="973" customFormat="false" ht="15" hidden="false" customHeight="false" outlineLevel="0" collapsed="false">
      <c r="G973" s="11"/>
    </row>
    <row r="979" customFormat="false" ht="15" hidden="false" customHeight="false" outlineLevel="0" collapsed="false">
      <c r="G979" s="11"/>
    </row>
    <row r="985" customFormat="false" ht="15" hidden="false" customHeight="false" outlineLevel="0" collapsed="false">
      <c r="G985" s="11"/>
    </row>
    <row r="991" customFormat="false" ht="15" hidden="false" customHeight="false" outlineLevel="0" collapsed="false">
      <c r="G991" s="11"/>
    </row>
    <row r="997" customFormat="false" ht="15" hidden="false" customHeight="false" outlineLevel="0" collapsed="false">
      <c r="G997" s="11"/>
    </row>
    <row r="1003" customFormat="false" ht="15" hidden="false" customHeight="false" outlineLevel="0" collapsed="false">
      <c r="G1003" s="11"/>
    </row>
    <row r="1009" customFormat="false" ht="15" hidden="false" customHeight="false" outlineLevel="0" collapsed="false">
      <c r="G1009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8"/>
  </cols>
  <sheetData>
    <row r="1" customFormat="false" ht="18.75" hidden="false" customHeight="true" outlineLevel="0" collapsed="false">
      <c r="A1" s="3" t="s">
        <v>74</v>
      </c>
    </row>
    <row r="2" customFormat="false" ht="15" hidden="false" customHeight="false" outlineLevel="0" collapsed="false">
      <c r="A2" s="4" t="s">
        <v>75</v>
      </c>
    </row>
    <row r="4" customFormat="false" ht="15" hidden="false" customHeight="false" outlineLevel="0" collapsed="false">
      <c r="A4" s="0" t="s">
        <v>41</v>
      </c>
      <c r="B4" s="1" t="s">
        <v>76</v>
      </c>
      <c r="C4" s="1" t="s">
        <v>77</v>
      </c>
      <c r="D4" s="1" t="s">
        <v>78</v>
      </c>
    </row>
    <row r="5" customFormat="false" ht="15" hidden="false" customHeight="false" outlineLevel="0" collapsed="false">
      <c r="A5" s="0" t="s">
        <v>52</v>
      </c>
      <c r="B5" s="19" t="n">
        <v>0.043</v>
      </c>
      <c r="C5" s="19" t="n">
        <v>0.028</v>
      </c>
      <c r="D5" s="19" t="n">
        <v>0.015</v>
      </c>
    </row>
    <row r="6" customFormat="false" ht="15" hidden="false" customHeight="false" outlineLevel="0" collapsed="false">
      <c r="A6" s="0" t="s">
        <v>53</v>
      </c>
      <c r="B6" s="19" t="n">
        <v>0.021</v>
      </c>
      <c r="C6" s="19" t="n">
        <v>0.034</v>
      </c>
      <c r="D6" s="19" t="n">
        <v>-0.008</v>
      </c>
    </row>
    <row r="7" customFormat="false" ht="15" hidden="false" customHeight="false" outlineLevel="0" collapsed="false">
      <c r="A7" s="0" t="s">
        <v>54</v>
      </c>
      <c r="B7" s="19" t="n">
        <v>-0.012</v>
      </c>
      <c r="C7" s="19" t="n">
        <v>0.019</v>
      </c>
      <c r="D7" s="19" t="n">
        <v>0.022</v>
      </c>
    </row>
    <row r="8" customFormat="false" ht="15" hidden="false" customHeight="false" outlineLevel="0" collapsed="false">
      <c r="A8" s="0" t="s">
        <v>55</v>
      </c>
      <c r="B8" s="19" t="n">
        <v>0.056</v>
      </c>
      <c r="C8" s="19" t="n">
        <v>0.025</v>
      </c>
      <c r="D8" s="19" t="n">
        <v>0.031</v>
      </c>
    </row>
    <row r="9" customFormat="false" ht="15" hidden="false" customHeight="false" outlineLevel="0" collapsed="false">
      <c r="A9" s="0" t="s">
        <v>56</v>
      </c>
      <c r="B9" s="19" t="n">
        <v>0.029</v>
      </c>
      <c r="C9" s="19" t="n">
        <v>0.041</v>
      </c>
      <c r="D9" s="19" t="n">
        <v>0.012</v>
      </c>
    </row>
    <row r="10" customFormat="false" ht="15" hidden="false" customHeight="false" outlineLevel="0" collapsed="false">
      <c r="A10" s="0" t="s">
        <v>57</v>
      </c>
      <c r="B10" s="19" t="n">
        <v>0.038</v>
      </c>
      <c r="C10" s="19" t="n">
        <v>0.022</v>
      </c>
      <c r="D10" s="19" t="n">
        <v>-0.005</v>
      </c>
    </row>
    <row r="11" customFormat="false" ht="15" hidden="false" customHeight="false" outlineLevel="0" collapsed="false">
      <c r="A11" s="0" t="s">
        <v>58</v>
      </c>
      <c r="B11" s="19" t="n">
        <v>0.047</v>
      </c>
      <c r="C11" s="19" t="n">
        <v>0.018</v>
      </c>
      <c r="D11" s="19" t="n">
        <v>0.026</v>
      </c>
    </row>
    <row r="12" customFormat="false" ht="15" hidden="false" customHeight="false" outlineLevel="0" collapsed="false">
      <c r="A12" s="0" t="s">
        <v>59</v>
      </c>
      <c r="B12" s="19" t="n">
        <v>0.033</v>
      </c>
      <c r="C12" s="19" t="n">
        <v>0.029</v>
      </c>
      <c r="D12" s="19" t="n">
        <v>0.009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3.42"/>
    <col collapsed="false" customWidth="true" hidden="false" outlineLevel="0" max="2" min="2" style="0" width="14"/>
    <col collapsed="false" customWidth="true" hidden="false" outlineLevel="0" max="3" min="3" style="6" width="12"/>
    <col collapsed="false" customWidth="true" hidden="false" outlineLevel="0" max="6" min="4" style="1" width="12"/>
  </cols>
  <sheetData>
    <row r="1" customFormat="false" ht="18.75" hidden="false" customHeight="true" outlineLevel="0" collapsed="false">
      <c r="A1" s="3" t="s">
        <v>79</v>
      </c>
    </row>
    <row r="2" customFormat="false" ht="15" hidden="false" customHeight="false" outlineLevel="0" collapsed="false">
      <c r="A2" s="4" t="s">
        <v>80</v>
      </c>
    </row>
    <row r="4" customFormat="false" ht="15" hidden="false" customHeight="false" outlineLevel="0" collapsed="false">
      <c r="A4" s="0" t="s">
        <v>41</v>
      </c>
      <c r="B4" s="0" t="s">
        <v>15</v>
      </c>
      <c r="C4" s="6" t="s">
        <v>81</v>
      </c>
      <c r="D4" s="1" t="s">
        <v>82</v>
      </c>
      <c r="E4" s="1" t="s">
        <v>83</v>
      </c>
      <c r="F4" s="1" t="s">
        <v>84</v>
      </c>
    </row>
    <row r="5" customFormat="false" ht="15" hidden="false" customHeight="false" outlineLevel="0" collapsed="false">
      <c r="A5" s="12" t="s">
        <v>52</v>
      </c>
      <c r="B5" s="0" t="s">
        <v>21</v>
      </c>
      <c r="C5" s="6" t="n">
        <v>0.9602</v>
      </c>
      <c r="D5" s="6" t="n">
        <v>0.9557</v>
      </c>
      <c r="E5" s="6" t="n">
        <v>0.9497</v>
      </c>
      <c r="F5" s="6" t="n">
        <v>0.9576</v>
      </c>
    </row>
    <row r="6" customFormat="false" ht="15" hidden="false" customHeight="false" outlineLevel="0" collapsed="false">
      <c r="A6" s="12" t="s">
        <v>53</v>
      </c>
      <c r="B6" s="0" t="s">
        <v>21</v>
      </c>
      <c r="C6" s="6" t="n">
        <v>0.9861</v>
      </c>
      <c r="D6" s="6" t="n">
        <v>0.9764</v>
      </c>
      <c r="E6" s="6" t="n">
        <v>0.9758</v>
      </c>
      <c r="F6" s="6" t="n">
        <v>0.9646</v>
      </c>
    </row>
    <row r="7" customFormat="false" ht="15" hidden="false" customHeight="false" outlineLevel="0" collapsed="false">
      <c r="A7" s="12" t="s">
        <v>54</v>
      </c>
      <c r="B7" s="0" t="s">
        <v>21</v>
      </c>
      <c r="C7" s="6" t="n">
        <v>0.9459</v>
      </c>
      <c r="D7" s="6" t="n">
        <v>0.9346</v>
      </c>
      <c r="E7" s="6" t="n">
        <v>0.9279</v>
      </c>
      <c r="F7" s="6" t="n">
        <v>0.9335</v>
      </c>
    </row>
    <row r="8" customFormat="false" ht="15" hidden="false" customHeight="false" outlineLevel="0" collapsed="false">
      <c r="A8" s="12" t="n">
        <v>135</v>
      </c>
      <c r="B8" s="0" t="s">
        <v>21</v>
      </c>
      <c r="C8" s="6" t="n">
        <v>0.9594</v>
      </c>
      <c r="D8" s="6" t="n">
        <v>0.9633</v>
      </c>
      <c r="E8" s="6" t="n">
        <v>0.9731</v>
      </c>
      <c r="F8" s="6" t="n">
        <v>0.9613</v>
      </c>
    </row>
    <row r="9" customFormat="false" ht="15" hidden="false" customHeight="false" outlineLevel="0" collapsed="false">
      <c r="A9" s="12" t="s">
        <v>85</v>
      </c>
      <c r="B9" s="0" t="s">
        <v>21</v>
      </c>
      <c r="C9" s="6" t="n">
        <v>0.9892</v>
      </c>
      <c r="D9" s="6" t="n">
        <v>0.9864</v>
      </c>
      <c r="E9" s="6" t="n">
        <v>0.9786</v>
      </c>
      <c r="F9" s="6" t="n">
        <v>0.9925</v>
      </c>
    </row>
    <row r="10" customFormat="false" ht="15" hidden="false" customHeight="false" outlineLevel="0" collapsed="false">
      <c r="A10" s="12" t="n">
        <v>108</v>
      </c>
      <c r="B10" s="0" t="s">
        <v>21</v>
      </c>
      <c r="C10" s="6" t="n">
        <v>0.9424</v>
      </c>
      <c r="D10" s="6" t="n">
        <v>0.933</v>
      </c>
      <c r="E10" s="6" t="n">
        <v>0.9439</v>
      </c>
      <c r="F10" s="6" t="n">
        <v>0.9482</v>
      </c>
    </row>
    <row r="11" customFormat="false" ht="15" hidden="false" customHeight="false" outlineLevel="0" collapsed="false">
      <c r="A11" s="12" t="s">
        <v>86</v>
      </c>
      <c r="B11" s="0" t="s">
        <v>21</v>
      </c>
      <c r="C11" s="6" t="n">
        <v>0.9902</v>
      </c>
      <c r="D11" s="6" t="n">
        <v>0.9926</v>
      </c>
      <c r="E11" s="6" t="n">
        <v>0.999</v>
      </c>
      <c r="F11" s="6" t="n">
        <v>0.9972</v>
      </c>
    </row>
    <row r="12" customFormat="false" ht="15" hidden="false" customHeight="false" outlineLevel="0" collapsed="false">
      <c r="A12" s="12" t="s">
        <v>87</v>
      </c>
      <c r="B12" s="0" t="s">
        <v>21</v>
      </c>
      <c r="C12" s="6" t="n">
        <v>0.9763</v>
      </c>
      <c r="D12" s="6" t="n">
        <v>0.981</v>
      </c>
      <c r="E12" s="6" t="n">
        <v>0.9922</v>
      </c>
      <c r="F12" s="6" t="n">
        <v>0.9958</v>
      </c>
    </row>
    <row r="13" customFormat="false" ht="15" hidden="false" customHeight="false" outlineLevel="0" collapsed="false">
      <c r="A13" s="12" t="n">
        <v>235</v>
      </c>
      <c r="B13" s="0" t="s">
        <v>21</v>
      </c>
      <c r="C13" s="6" t="n">
        <v>0.965</v>
      </c>
      <c r="D13" s="6" t="n">
        <v>0.9592</v>
      </c>
      <c r="E13" s="6" t="n">
        <v>0.955</v>
      </c>
      <c r="F13" s="6" t="n">
        <v>0.9452</v>
      </c>
    </row>
    <row r="14" customFormat="false" ht="15" hidden="false" customHeight="false" outlineLevel="0" collapsed="false">
      <c r="A14" s="12" t="s">
        <v>88</v>
      </c>
      <c r="B14" s="0" t="s">
        <v>21</v>
      </c>
      <c r="C14" s="6" t="n">
        <v>0.9359</v>
      </c>
      <c r="D14" s="6" t="n">
        <v>0.9314</v>
      </c>
      <c r="E14" s="6" t="n">
        <v>0.9365</v>
      </c>
      <c r="F14" s="6" t="n">
        <v>0.9344</v>
      </c>
    </row>
    <row r="15" customFormat="false" ht="15" hidden="false" customHeight="false" outlineLevel="0" collapsed="false">
      <c r="A15" s="12" t="s">
        <v>55</v>
      </c>
      <c r="B15" s="0" t="s">
        <v>21</v>
      </c>
      <c r="C15" s="6" t="n">
        <v>0.9477</v>
      </c>
      <c r="D15" s="6" t="n">
        <v>0.9429</v>
      </c>
      <c r="E15" s="6" t="n">
        <v>0.9562</v>
      </c>
      <c r="F15" s="6" t="n">
        <v>0.9617</v>
      </c>
    </row>
    <row r="16" customFormat="false" ht="15" hidden="false" customHeight="false" outlineLevel="0" collapsed="false">
      <c r="A16" s="0" t="s">
        <v>89</v>
      </c>
      <c r="B16" s="0" t="s">
        <v>90</v>
      </c>
      <c r="C16" s="6" t="n">
        <f aca="false">AVERAGE(C5:C15)</f>
        <v>0.963481818181818</v>
      </c>
      <c r="D16" s="6" t="n">
        <f aca="false">AVERAGE(D5:D15)</f>
        <v>0.959681818181818</v>
      </c>
      <c r="E16" s="6" t="n">
        <f aca="false">AVERAGE(E5:E15)</f>
        <v>0.962536363636364</v>
      </c>
      <c r="F16" s="6" t="n">
        <f aca="false">AVERAGE(F5:F15)</f>
        <v>0.962909090909091</v>
      </c>
    </row>
    <row r="17" customFormat="false" ht="15" hidden="false" customHeight="false" outlineLevel="0" collapsed="false">
      <c r="A17" s="0" t="s">
        <v>57</v>
      </c>
      <c r="B17" s="0" t="s">
        <v>22</v>
      </c>
      <c r="C17" s="6" t="n">
        <v>0.9622</v>
      </c>
      <c r="D17" s="6" t="n">
        <v>0.9699</v>
      </c>
      <c r="E17" s="6" t="n">
        <v>0.9623</v>
      </c>
      <c r="F17" s="6" t="n">
        <v>0.9606</v>
      </c>
    </row>
    <row r="18" customFormat="false" ht="15" hidden="false" customHeight="false" outlineLevel="0" collapsed="false">
      <c r="A18" s="0" t="s">
        <v>56</v>
      </c>
      <c r="B18" s="0" t="s">
        <v>22</v>
      </c>
      <c r="C18" s="6" t="n">
        <v>0.999</v>
      </c>
      <c r="D18" s="6" t="n">
        <v>0.999</v>
      </c>
      <c r="E18" s="6" t="n">
        <v>0.999</v>
      </c>
      <c r="F18" s="6" t="n">
        <v>0.999</v>
      </c>
    </row>
    <row r="19" customFormat="false" ht="15" hidden="false" customHeight="false" outlineLevel="0" collapsed="false">
      <c r="A19" s="0" t="s">
        <v>59</v>
      </c>
      <c r="B19" s="0" t="s">
        <v>22</v>
      </c>
      <c r="C19" s="6" t="n">
        <v>0.9746</v>
      </c>
      <c r="D19" s="6" t="n">
        <v>0.9635</v>
      </c>
      <c r="E19" s="6" t="n">
        <v>0.96</v>
      </c>
      <c r="F19" s="6" t="n">
        <v>0.9552</v>
      </c>
    </row>
    <row r="20" customFormat="false" ht="15" hidden="false" customHeight="false" outlineLevel="0" collapsed="false">
      <c r="A20" s="0" t="s">
        <v>91</v>
      </c>
      <c r="B20" s="0" t="s">
        <v>22</v>
      </c>
      <c r="C20" s="6" t="n">
        <v>0.9572</v>
      </c>
      <c r="D20" s="6" t="n">
        <v>0.9688</v>
      </c>
      <c r="E20" s="6" t="n">
        <v>0.9653</v>
      </c>
      <c r="F20" s="6" t="n">
        <v>0.971</v>
      </c>
    </row>
    <row r="21" customFormat="false" ht="15" hidden="false" customHeight="false" outlineLevel="0" collapsed="false">
      <c r="A21" s="0" t="s">
        <v>92</v>
      </c>
      <c r="B21" s="0" t="s">
        <v>22</v>
      </c>
      <c r="C21" s="6" t="n">
        <v>0.9684</v>
      </c>
      <c r="D21" s="6" t="n">
        <v>0.9688</v>
      </c>
      <c r="E21" s="6" t="n">
        <v>0.9639</v>
      </c>
      <c r="F21" s="6" t="n">
        <v>0.9586</v>
      </c>
    </row>
    <row r="22" customFormat="false" ht="15" hidden="false" customHeight="false" outlineLevel="0" collapsed="false">
      <c r="A22" s="0" t="s">
        <v>58</v>
      </c>
      <c r="B22" s="0" t="s">
        <v>22</v>
      </c>
      <c r="C22" s="6" t="n">
        <v>0.9616</v>
      </c>
      <c r="D22" s="6" t="n">
        <v>0.9654</v>
      </c>
      <c r="E22" s="6" t="n">
        <v>0.9776</v>
      </c>
      <c r="F22" s="6" t="n">
        <v>0.9764</v>
      </c>
    </row>
    <row r="23" customFormat="false" ht="15" hidden="false" customHeight="false" outlineLevel="0" collapsed="false">
      <c r="A23" s="0" t="s">
        <v>93</v>
      </c>
      <c r="B23" s="0" t="s">
        <v>90</v>
      </c>
      <c r="C23" s="6" t="n">
        <f aca="false">AVERAGE(C17:C22)</f>
        <v>0.9705</v>
      </c>
      <c r="D23" s="6" t="n">
        <f aca="false">AVERAGE(D17:D22)</f>
        <v>0.972566666666667</v>
      </c>
      <c r="E23" s="6" t="n">
        <f aca="false">AVERAGE(E17:E22)</f>
        <v>0.97135</v>
      </c>
      <c r="F23" s="6" t="n">
        <f aca="false">AVERAGE(F17:F22)</f>
        <v>0.970133333333333</v>
      </c>
    </row>
    <row r="24" customFormat="false" ht="15" hidden="false" customHeight="false" outlineLevel="0" collapsed="false">
      <c r="A24" s="0" t="s">
        <v>11</v>
      </c>
      <c r="B24" s="0" t="s">
        <v>94</v>
      </c>
      <c r="C24" s="6" t="n">
        <f aca="false">AVERAGE(C16,C23)</f>
        <v>0.966990909090909</v>
      </c>
      <c r="D24" s="6" t="n">
        <f aca="false">AVERAGE(D16,D23)</f>
        <v>0.966124242424242</v>
      </c>
      <c r="E24" s="6" t="n">
        <f aca="false">AVERAGE(E16,E23)</f>
        <v>0.966943181818182</v>
      </c>
      <c r="F24" s="6" t="n">
        <f aca="false">AVERAGE(F16,F23)</f>
        <v>0.966521212121212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22"/>
  </cols>
  <sheetData>
    <row r="1" customFormat="false" ht="18.75" hidden="false" customHeight="true" outlineLevel="0" collapsed="false">
      <c r="A1" s="3" t="s">
        <v>95</v>
      </c>
    </row>
    <row r="2" customFormat="false" ht="15" hidden="false" customHeight="false" outlineLevel="0" collapsed="false">
      <c r="A2" s="4" t="s">
        <v>96</v>
      </c>
    </row>
    <row r="4" customFormat="false" ht="15" hidden="false" customHeight="false" outlineLevel="0" collapsed="false">
      <c r="A4" s="0" t="s">
        <v>41</v>
      </c>
      <c r="B4" s="0" t="s">
        <v>97</v>
      </c>
      <c r="C4" s="0" t="s">
        <v>98</v>
      </c>
      <c r="D4" s="0" t="s">
        <v>99</v>
      </c>
    </row>
    <row r="5" customFormat="false" ht="15" hidden="false" customHeight="false" outlineLevel="0" collapsed="false">
      <c r="A5" s="0" t="s">
        <v>52</v>
      </c>
      <c r="B5" s="0" t="n">
        <v>12</v>
      </c>
      <c r="C5" s="0" t="n">
        <v>5</v>
      </c>
      <c r="D5" s="0" t="n">
        <v>13</v>
      </c>
    </row>
    <row r="6" customFormat="false" ht="15" hidden="false" customHeight="false" outlineLevel="0" collapsed="false">
      <c r="A6" s="0" t="s">
        <v>53</v>
      </c>
      <c r="B6" s="0" t="n">
        <v>20</v>
      </c>
      <c r="C6" s="0" t="n">
        <v>4</v>
      </c>
      <c r="D6" s="0" t="n">
        <v>17</v>
      </c>
    </row>
    <row r="7" customFormat="false" ht="15" hidden="false" customHeight="false" outlineLevel="0" collapsed="false">
      <c r="A7" s="0" t="s">
        <v>54</v>
      </c>
      <c r="B7" s="0" t="n">
        <v>6</v>
      </c>
      <c r="C7" s="0" t="n">
        <v>4</v>
      </c>
      <c r="D7" s="0" t="n">
        <v>7</v>
      </c>
    </row>
    <row r="8" customFormat="false" ht="15" hidden="false" customHeight="false" outlineLevel="0" collapsed="false">
      <c r="A8" s="0" t="s">
        <v>55</v>
      </c>
      <c r="B8" s="0" t="n">
        <v>10</v>
      </c>
      <c r="C8" s="0" t="n">
        <v>13</v>
      </c>
      <c r="D8" s="0" t="n">
        <v>11</v>
      </c>
    </row>
    <row r="9" customFormat="false" ht="15" hidden="false" customHeight="false" outlineLevel="0" collapsed="false">
      <c r="A9" s="0" t="s">
        <v>56</v>
      </c>
      <c r="B9" s="0" t="n">
        <v>7</v>
      </c>
      <c r="C9" s="0" t="n">
        <v>9</v>
      </c>
      <c r="D9" s="0" t="n">
        <v>11</v>
      </c>
    </row>
    <row r="10" customFormat="false" ht="15" hidden="false" customHeight="false" outlineLevel="0" collapsed="false">
      <c r="A10" s="0" t="s">
        <v>57</v>
      </c>
      <c r="B10" s="0" t="n">
        <v>19</v>
      </c>
      <c r="C10" s="0" t="n">
        <v>11</v>
      </c>
      <c r="D10" s="0" t="n">
        <v>9</v>
      </c>
    </row>
    <row r="11" customFormat="false" ht="15" hidden="false" customHeight="false" outlineLevel="0" collapsed="false">
      <c r="A11" s="0" t="s">
        <v>58</v>
      </c>
      <c r="B11" s="0" t="n">
        <v>22</v>
      </c>
      <c r="C11" s="0" t="n">
        <v>3</v>
      </c>
      <c r="D11" s="0" t="n">
        <v>15</v>
      </c>
    </row>
    <row r="12" customFormat="false" ht="15" hidden="false" customHeight="false" outlineLevel="0" collapsed="false">
      <c r="A12" s="0" t="s">
        <v>59</v>
      </c>
      <c r="B12" s="0" t="n">
        <v>8</v>
      </c>
      <c r="C12" s="0" t="n">
        <v>13</v>
      </c>
      <c r="D12" s="0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</cols>
  <sheetData>
    <row r="1" customFormat="false" ht="18.75" hidden="false" customHeight="true" outlineLevel="0" collapsed="false">
      <c r="A1" s="3" t="s">
        <v>100</v>
      </c>
    </row>
    <row r="2" customFormat="false" ht="15" hidden="false" customHeight="false" outlineLevel="0" collapsed="false">
      <c r="A2" s="4" t="s">
        <v>101</v>
      </c>
    </row>
    <row r="4" customFormat="false" ht="15" hidden="false" customHeight="false" outlineLevel="0" collapsed="false">
      <c r="A4" s="0" t="s">
        <v>41</v>
      </c>
      <c r="B4" s="1" t="s">
        <v>102</v>
      </c>
    </row>
    <row r="5" customFormat="false" ht="15" hidden="false" customHeight="false" outlineLevel="0" collapsed="false">
      <c r="A5" s="0" t="s">
        <v>52</v>
      </c>
      <c r="B5" s="6" t="n">
        <v>0.062</v>
      </c>
    </row>
    <row r="6" customFormat="false" ht="15" hidden="false" customHeight="false" outlineLevel="0" collapsed="false">
      <c r="A6" s="0" t="s">
        <v>53</v>
      </c>
      <c r="B6" s="6" t="n">
        <v>0.028</v>
      </c>
    </row>
    <row r="7" customFormat="false" ht="15" hidden="false" customHeight="false" outlineLevel="0" collapsed="false">
      <c r="A7" s="0" t="s">
        <v>54</v>
      </c>
      <c r="B7" s="6" t="n">
        <v>-0.015</v>
      </c>
    </row>
    <row r="8" customFormat="false" ht="15" hidden="false" customHeight="false" outlineLevel="0" collapsed="false">
      <c r="A8" s="0" t="s">
        <v>55</v>
      </c>
      <c r="B8" s="6" t="n">
        <v>0.041</v>
      </c>
    </row>
    <row r="9" customFormat="false" ht="15" hidden="false" customHeight="false" outlineLevel="0" collapsed="false">
      <c r="A9" s="0" t="s">
        <v>56</v>
      </c>
      <c r="B9" s="6" t="n">
        <v>0.035</v>
      </c>
    </row>
    <row r="10" customFormat="false" ht="15" hidden="false" customHeight="false" outlineLevel="0" collapsed="false">
      <c r="A10" s="0" t="s">
        <v>57</v>
      </c>
      <c r="B10" s="6" t="n">
        <v>-0.022</v>
      </c>
    </row>
    <row r="11" customFormat="false" ht="15" hidden="false" customHeight="false" outlineLevel="0" collapsed="false">
      <c r="A11" s="0" t="s">
        <v>58</v>
      </c>
      <c r="B11" s="6" t="n">
        <v>0.018</v>
      </c>
    </row>
    <row r="12" customFormat="false" ht="15" hidden="false" customHeight="false" outlineLevel="0" collapsed="false">
      <c r="A12" s="0" t="s">
        <v>59</v>
      </c>
      <c r="B12" s="6" t="n">
        <v>0.049</v>
      </c>
    </row>
    <row r="13" customFormat="false" ht="15" hidden="false" customHeight="false" outlineLevel="0" collapsed="false">
      <c r="A13" s="12"/>
    </row>
    <row r="14" customFormat="false" ht="15" hidden="false" customHeight="false" outlineLevel="0" collapsed="false">
      <c r="A14" s="12"/>
    </row>
    <row r="15" customFormat="false" ht="15" hidden="false" customHeight="false" outlineLevel="0" collapsed="false">
      <c r="A15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6"/>
  </cols>
  <sheetData>
    <row r="1" customFormat="false" ht="18.75" hidden="false" customHeight="true" outlineLevel="0" collapsed="false">
      <c r="A1" s="3" t="s">
        <v>103</v>
      </c>
    </row>
    <row r="2" customFormat="false" ht="15" hidden="false" customHeight="false" outlineLevel="0" collapsed="false">
      <c r="A2" s="4" t="s">
        <v>104</v>
      </c>
    </row>
    <row r="4" customFormat="false" ht="15" hidden="false" customHeight="false" outlineLevel="0" collapsed="false">
      <c r="A4" s="0" t="s">
        <v>105</v>
      </c>
      <c r="B4" s="14" t="n">
        <v>820</v>
      </c>
    </row>
    <row r="5" customFormat="false" ht="15" hidden="false" customHeight="false" outlineLevel="0" collapsed="false">
      <c r="A5" s="0" t="s">
        <v>106</v>
      </c>
      <c r="B5" s="14" t="n">
        <v>835</v>
      </c>
    </row>
    <row r="6" customFormat="false" ht="15" hidden="false" customHeight="false" outlineLevel="0" collapsed="false">
      <c r="A6" s="0" t="s">
        <v>107</v>
      </c>
      <c r="B6" s="14" t="n">
        <v>848</v>
      </c>
    </row>
    <row r="7" customFormat="false" ht="15" hidden="false" customHeight="false" outlineLevel="0" collapsed="false">
      <c r="A7" s="0" t="s">
        <v>108</v>
      </c>
      <c r="B7" s="14" t="n">
        <v>862</v>
      </c>
    </row>
    <row r="8" customFormat="false" ht="15" hidden="false" customHeight="false" outlineLevel="0" collapsed="false">
      <c r="A8" s="0" t="s">
        <v>109</v>
      </c>
      <c r="B8" s="14" t="n">
        <v>878</v>
      </c>
    </row>
    <row r="9" customFormat="false" ht="15" hidden="false" customHeight="false" outlineLevel="0" collapsed="false">
      <c r="A9" s="0" t="s">
        <v>110</v>
      </c>
      <c r="B9" s="14" t="n">
        <v>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25" activeCellId="0" sqref="D2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4" min="3" style="17" width="18"/>
    <col collapsed="false" customWidth="true" hidden="false" outlineLevel="0" max="5" min="5" style="20" width="12"/>
    <col collapsed="false" customWidth="true" hidden="false" outlineLevel="0" max="7" min="6" style="13" width="18"/>
  </cols>
  <sheetData>
    <row r="1" customFormat="false" ht="18.75" hidden="false" customHeight="true" outlineLevel="0" collapsed="false">
      <c r="A1" s="3" t="s">
        <v>111</v>
      </c>
    </row>
    <row r="3" customFormat="false" ht="15" hidden="false" customHeight="false" outlineLevel="0" collapsed="false">
      <c r="A3" s="0" t="s">
        <v>112</v>
      </c>
      <c r="B3" s="0" t="s">
        <v>113</v>
      </c>
      <c r="C3" s="21" t="s">
        <v>114</v>
      </c>
      <c r="D3" s="21" t="s">
        <v>115</v>
      </c>
      <c r="E3" s="19" t="s">
        <v>67</v>
      </c>
      <c r="F3" s="6" t="s">
        <v>116</v>
      </c>
      <c r="G3" s="6" t="s">
        <v>117</v>
      </c>
    </row>
    <row r="4" customFormat="false" ht="15" hidden="false" customHeight="false" outlineLevel="0" collapsed="false">
      <c r="A4" s="0" t="s">
        <v>118</v>
      </c>
      <c r="B4" s="0" t="s">
        <v>119</v>
      </c>
      <c r="C4" s="17" t="n">
        <v>0.9425</v>
      </c>
      <c r="D4" s="17" t="n">
        <v>0.8309</v>
      </c>
      <c r="E4" s="20" t="n">
        <f aca="false">C4/D4-1</f>
        <v>0.134312191599471</v>
      </c>
      <c r="F4" s="13" t="n">
        <v>0.2095</v>
      </c>
      <c r="G4" s="13" t="n">
        <v>0.1996</v>
      </c>
    </row>
    <row r="5" customFormat="false" ht="15" hidden="false" customHeight="false" outlineLevel="0" collapsed="false">
      <c r="A5" s="0" t="s">
        <v>118</v>
      </c>
      <c r="B5" s="0" t="s">
        <v>120</v>
      </c>
      <c r="C5" s="17" t="n">
        <v>0.1301</v>
      </c>
      <c r="D5" s="17" t="n">
        <v>0.1731</v>
      </c>
      <c r="E5" s="20" t="n">
        <f aca="false">C5/D5-1</f>
        <v>-0.24841132293472</v>
      </c>
      <c r="F5" s="13" t="n">
        <v>0.3661</v>
      </c>
      <c r="G5" s="13" t="n">
        <v>0.4034</v>
      </c>
    </row>
    <row r="6" customFormat="false" ht="15" hidden="false" customHeight="false" outlineLevel="0" collapsed="false">
      <c r="A6" s="0" t="s">
        <v>118</v>
      </c>
      <c r="B6" s="0" t="s">
        <v>121</v>
      </c>
      <c r="C6" s="17" t="n">
        <v>0.2265</v>
      </c>
      <c r="D6" s="17" t="n">
        <v>0.2003</v>
      </c>
      <c r="E6" s="20" t="n">
        <f aca="false">C6/D6-1</f>
        <v>0.130803794308537</v>
      </c>
      <c r="F6" s="13" t="n">
        <v>0.2781</v>
      </c>
      <c r="G6" s="13" t="n">
        <v>0.2467</v>
      </c>
    </row>
    <row r="7" customFormat="false" ht="15" hidden="false" customHeight="false" outlineLevel="0" collapsed="false">
      <c r="A7" s="0" t="s">
        <v>118</v>
      </c>
      <c r="B7" s="0" t="s">
        <v>122</v>
      </c>
      <c r="C7" s="17" t="n">
        <v>0.1863</v>
      </c>
      <c r="D7" s="17" t="n">
        <v>0.1591</v>
      </c>
      <c r="E7" s="20" t="n">
        <f aca="false">C7/D7-1</f>
        <v>0.170961659333752</v>
      </c>
      <c r="F7" s="13" t="n">
        <v>0.2781</v>
      </c>
      <c r="G7" s="13" t="n">
        <v>0.2557</v>
      </c>
    </row>
    <row r="8" customFormat="false" ht="15" hidden="false" customHeight="false" outlineLevel="0" collapsed="false">
      <c r="A8" s="0" t="s">
        <v>118</v>
      </c>
      <c r="B8" s="0" t="s">
        <v>123</v>
      </c>
      <c r="C8" s="17" t="n">
        <v>0.0846</v>
      </c>
      <c r="D8" s="17" t="n">
        <v>0.1018</v>
      </c>
      <c r="E8" s="20" t="n">
        <f aca="false">C8/D8-1</f>
        <v>-0.168958742632613</v>
      </c>
      <c r="F8" s="13" t="n">
        <v>0.4609</v>
      </c>
      <c r="G8" s="13" t="n">
        <v>0.5406</v>
      </c>
    </row>
    <row r="9" customFormat="false" ht="15" hidden="false" customHeight="false" outlineLevel="0" collapsed="false">
      <c r="A9" s="0" t="s">
        <v>118</v>
      </c>
      <c r="B9" s="0" t="s">
        <v>124</v>
      </c>
      <c r="C9" s="17" t="n">
        <v>0.1371</v>
      </c>
      <c r="D9" s="17" t="n">
        <v>0.1306</v>
      </c>
      <c r="E9" s="20" t="n">
        <f aca="false">C9/D9-1</f>
        <v>0.0497702909647779</v>
      </c>
      <c r="F9" s="13" t="n">
        <v>0.2703</v>
      </c>
      <c r="G9" s="13" t="n">
        <v>0.2403</v>
      </c>
    </row>
    <row r="10" customFormat="false" ht="15" hidden="false" customHeight="false" outlineLevel="0" collapsed="false">
      <c r="A10" s="0" t="s">
        <v>125</v>
      </c>
      <c r="B10" s="22" t="s">
        <v>126</v>
      </c>
      <c r="C10" s="17" t="n">
        <v>0.8792</v>
      </c>
      <c r="D10" s="17" t="n">
        <v>0.7075</v>
      </c>
      <c r="E10" s="20" t="n">
        <f aca="false">C10/D10-1</f>
        <v>0.242685512367491</v>
      </c>
      <c r="F10" s="13" t="n">
        <v>0.4008</v>
      </c>
      <c r="G10" s="13" t="n">
        <v>0.3743</v>
      </c>
    </row>
    <row r="11" customFormat="false" ht="15" hidden="false" customHeight="false" outlineLevel="0" collapsed="false">
      <c r="A11" s="0" t="s">
        <v>125</v>
      </c>
      <c r="B11" s="0" t="s">
        <v>127</v>
      </c>
      <c r="C11" s="17" t="n">
        <v>0.5555</v>
      </c>
      <c r="D11" s="17" t="n">
        <v>0.5374</v>
      </c>
      <c r="E11" s="20" t="n">
        <f aca="false">C11/D11-1</f>
        <v>0.0336806847785636</v>
      </c>
      <c r="F11" s="13" t="n">
        <v>0.1023</v>
      </c>
      <c r="G11" s="13" t="n">
        <v>0.1132</v>
      </c>
    </row>
    <row r="12" customFormat="false" ht="15" hidden="false" customHeight="false" outlineLevel="0" collapsed="false">
      <c r="A12" s="0" t="s">
        <v>125</v>
      </c>
      <c r="B12" s="22" t="s">
        <v>128</v>
      </c>
      <c r="C12" s="17" t="n">
        <v>0.5971</v>
      </c>
      <c r="D12" s="17" t="n">
        <v>0.4819</v>
      </c>
      <c r="E12" s="20" t="n">
        <f aca="false">C12/D12-1</f>
        <v>0.239053745590371</v>
      </c>
      <c r="F12" s="13" t="n">
        <v>0.2884</v>
      </c>
      <c r="G12" s="13" t="n">
        <v>0.2578</v>
      </c>
    </row>
    <row r="13" customFormat="false" ht="15" hidden="false" customHeight="false" outlineLevel="0" collapsed="false">
      <c r="A13" s="0" t="s">
        <v>125</v>
      </c>
      <c r="B13" s="22" t="s">
        <v>129</v>
      </c>
      <c r="C13" s="17" t="n">
        <v>0.6319</v>
      </c>
      <c r="D13" s="17" t="n">
        <v>0.5165</v>
      </c>
      <c r="E13" s="20" t="n">
        <f aca="false">C13/D13-1</f>
        <v>0.223426911907067</v>
      </c>
      <c r="F13" s="13" t="n">
        <v>0.1377</v>
      </c>
      <c r="G13" s="13" t="n">
        <v>0.1425</v>
      </c>
    </row>
    <row r="14" customFormat="false" ht="15" hidden="false" customHeight="false" outlineLevel="0" collapsed="false">
      <c r="A14" s="0" t="s">
        <v>125</v>
      </c>
      <c r="B14" s="0" t="s">
        <v>130</v>
      </c>
      <c r="C14" s="17" t="n">
        <v>0.4907</v>
      </c>
      <c r="D14" s="17" t="n">
        <v>0.3982</v>
      </c>
      <c r="E14" s="20" t="n">
        <f aca="false">C14/D14-1</f>
        <v>0.232295328980412</v>
      </c>
      <c r="F14" s="13" t="n">
        <v>0.4509</v>
      </c>
      <c r="G14" s="13" t="n">
        <v>0.5025</v>
      </c>
    </row>
    <row r="15" customFormat="false" ht="15" hidden="false" customHeight="false" outlineLevel="0" collapsed="false">
      <c r="A15" s="0" t="s">
        <v>125</v>
      </c>
      <c r="B15" s="22" t="s">
        <v>131</v>
      </c>
      <c r="C15" s="17" t="n">
        <v>0.3188</v>
      </c>
      <c r="D15" s="17" t="n">
        <v>0.2881</v>
      </c>
      <c r="E15" s="20" t="n">
        <f aca="false">C15/D15-1</f>
        <v>0.106560222145088</v>
      </c>
      <c r="F15" s="13" t="n">
        <v>0.2336</v>
      </c>
      <c r="G15" s="13" t="n">
        <v>0.2535</v>
      </c>
    </row>
    <row r="16" customFormat="false" ht="15" hidden="false" customHeight="false" outlineLevel="0" collapsed="false">
      <c r="A16" s="0" t="s">
        <v>125</v>
      </c>
      <c r="B16" s="22" t="s">
        <v>132</v>
      </c>
      <c r="C16" s="17" t="n">
        <v>0.2998</v>
      </c>
      <c r="D16" s="17" t="n">
        <v>0.2499</v>
      </c>
      <c r="E16" s="20" t="n">
        <f aca="false">C16/D16-1</f>
        <v>0.19967987194878</v>
      </c>
      <c r="F16" s="13" t="n">
        <v>0.2551</v>
      </c>
      <c r="G16" s="13" t="n">
        <v>0.239</v>
      </c>
    </row>
    <row r="17" customFormat="false" ht="15" hidden="false" customHeight="false" outlineLevel="0" collapsed="false">
      <c r="A17" s="0" t="s">
        <v>125</v>
      </c>
      <c r="B17" s="22" t="s">
        <v>133</v>
      </c>
      <c r="C17" s="17" t="n">
        <v>0.171</v>
      </c>
      <c r="D17" s="17" t="n">
        <v>0.2249</v>
      </c>
      <c r="E17" s="20" t="n">
        <f aca="false">C17/D17-1</f>
        <v>-0.239662072032014</v>
      </c>
      <c r="F17" s="13" t="n">
        <v>0.2971</v>
      </c>
      <c r="G17" s="13" t="n">
        <v>0.3137</v>
      </c>
    </row>
    <row r="18" customFormat="false" ht="15" hidden="false" customHeight="false" outlineLevel="0" collapsed="false">
      <c r="A18" s="0" t="s">
        <v>125</v>
      </c>
      <c r="B18" s="22" t="s">
        <v>134</v>
      </c>
      <c r="C18" s="17" t="n">
        <v>0.2012</v>
      </c>
      <c r="D18" s="17" t="n">
        <v>0.1823</v>
      </c>
      <c r="E18" s="20" t="n">
        <f aca="false">C18/D18-1</f>
        <v>0.103675260559517</v>
      </c>
      <c r="F18" s="13" t="n">
        <v>0.0941</v>
      </c>
      <c r="G18" s="13" t="n">
        <v>0.0822</v>
      </c>
    </row>
    <row r="19" customFormat="false" ht="15" hidden="false" customHeight="false" outlineLevel="0" collapsed="false">
      <c r="A19" s="0" t="s">
        <v>125</v>
      </c>
      <c r="B19" s="0" t="s">
        <v>135</v>
      </c>
      <c r="C19" s="17" t="n">
        <v>0.1384</v>
      </c>
      <c r="D19" s="17" t="n">
        <v>0.1512</v>
      </c>
      <c r="E19" s="20" t="n">
        <f aca="false">C19/D19-1</f>
        <v>-0.0846560846560847</v>
      </c>
      <c r="F19" s="13" t="n">
        <v>0.2808</v>
      </c>
      <c r="G19" s="13" t="n">
        <v>0.266</v>
      </c>
    </row>
    <row r="20" customFormat="false" ht="15" hidden="false" customHeight="false" outlineLevel="0" collapsed="false">
      <c r="A20" s="0" t="s">
        <v>125</v>
      </c>
      <c r="B20" s="22" t="s">
        <v>136</v>
      </c>
      <c r="C20" s="17" t="n">
        <v>0.1425</v>
      </c>
      <c r="D20" s="17" t="n">
        <v>0.1398</v>
      </c>
      <c r="E20" s="20" t="n">
        <f aca="false">C20/D20-1</f>
        <v>0.0193133047210299</v>
      </c>
      <c r="F20" s="13" t="n">
        <v>0.3666</v>
      </c>
      <c r="G20" s="13" t="n">
        <v>0.4248</v>
      </c>
    </row>
    <row r="21" customFormat="false" ht="15" hidden="false" customHeight="false" outlineLevel="0" collapsed="false">
      <c r="A21" s="0" t="s">
        <v>125</v>
      </c>
      <c r="B21" s="22" t="s">
        <v>137</v>
      </c>
      <c r="C21" s="17" t="n">
        <v>0.1156</v>
      </c>
      <c r="D21" s="17" t="n">
        <v>0.1326</v>
      </c>
      <c r="E21" s="20" t="n">
        <f aca="false">C21/D21-1</f>
        <v>-0.128205128205128</v>
      </c>
      <c r="F21" s="13" t="n">
        <v>0.2639</v>
      </c>
      <c r="G21" s="13" t="n">
        <v>0.2619</v>
      </c>
    </row>
    <row r="22" customFormat="false" ht="15" hidden="false" customHeight="false" outlineLevel="0" collapsed="false">
      <c r="A22" s="0" t="s">
        <v>138</v>
      </c>
      <c r="B22" s="0" t="s">
        <v>139</v>
      </c>
      <c r="C22" s="17" t="n">
        <v>4.9168</v>
      </c>
      <c r="D22" s="17" t="n">
        <v>4.5547</v>
      </c>
      <c r="E22" s="20" t="n">
        <f aca="false">C22/D22-1</f>
        <v>0.0795002963971283</v>
      </c>
      <c r="F22" s="13" t="n">
        <v>0.2153</v>
      </c>
      <c r="G22" s="13" t="n">
        <v>0.214</v>
      </c>
    </row>
    <row r="23" customFormat="false" ht="15" hidden="false" customHeight="false" outlineLevel="0" collapsed="false">
      <c r="A23" s="0" t="s">
        <v>138</v>
      </c>
      <c r="B23" s="0" t="s">
        <v>140</v>
      </c>
      <c r="C23" s="17" t="n">
        <v>1.3412</v>
      </c>
      <c r="D23" s="17" t="n">
        <v>1.726</v>
      </c>
      <c r="E23" s="20" t="n">
        <f aca="false">C23/D23-1</f>
        <v>-0.222943221320973</v>
      </c>
      <c r="F23" s="13" t="n">
        <v>0.3379</v>
      </c>
      <c r="G23" s="13" t="n">
        <v>0.3636</v>
      </c>
    </row>
    <row r="24" customFormat="false" ht="15" hidden="false" customHeight="false" outlineLevel="0" collapsed="false">
      <c r="A24" s="0" t="s">
        <v>138</v>
      </c>
      <c r="B24" s="0" t="s">
        <v>141</v>
      </c>
      <c r="C24" s="17" t="n">
        <v>0.5452</v>
      </c>
      <c r="D24" s="17" t="n">
        <v>0.4894</v>
      </c>
      <c r="E24" s="20" t="n">
        <f aca="false">C24/D24-1</f>
        <v>0.114017163874132</v>
      </c>
      <c r="F24" s="13" t="n">
        <v>0.3982</v>
      </c>
      <c r="G24" s="13" t="n">
        <v>0.3537</v>
      </c>
    </row>
    <row r="25" customFormat="false" ht="15" hidden="false" customHeight="false" outlineLevel="0" collapsed="false">
      <c r="A25" s="0" t="s">
        <v>138</v>
      </c>
      <c r="B25" s="0" t="s">
        <v>142</v>
      </c>
      <c r="C25" s="17" t="n">
        <v>0.3026</v>
      </c>
      <c r="D25" s="17" t="n">
        <v>0.2972</v>
      </c>
      <c r="E25" s="20" t="n">
        <f aca="false">C25/D25-1</f>
        <v>0.0181695827725437</v>
      </c>
      <c r="F25" s="13" t="n">
        <v>0.1275</v>
      </c>
      <c r="G25" s="13" t="n">
        <v>0.1166</v>
      </c>
    </row>
    <row r="26" customFormat="false" ht="15" hidden="false" customHeight="false" outlineLevel="0" collapsed="false">
      <c r="A26" s="0" t="s">
        <v>138</v>
      </c>
      <c r="B26" s="0" t="s">
        <v>143</v>
      </c>
      <c r="C26" s="17" t="n">
        <v>0.08</v>
      </c>
      <c r="D26" s="17" t="n">
        <v>0.0674</v>
      </c>
      <c r="E26" s="20" t="n">
        <f aca="false">C26/D26-1</f>
        <v>0.186943620178041</v>
      </c>
      <c r="F26" s="13" t="n">
        <v>0.1009</v>
      </c>
      <c r="G26" s="13" t="n">
        <v>0.1143</v>
      </c>
    </row>
    <row r="27" customFormat="false" ht="15" hidden="false" customHeight="false" outlineLevel="0" collapsed="false">
      <c r="A27" s="0" t="s">
        <v>144</v>
      </c>
      <c r="B27" s="22" t="s">
        <v>145</v>
      </c>
      <c r="C27" s="17" t="n">
        <v>2.1905</v>
      </c>
      <c r="D27" s="17" t="n">
        <v>2.7417</v>
      </c>
      <c r="E27" s="20" t="n">
        <f aca="false">C27/D27-1</f>
        <v>-0.201043148411569</v>
      </c>
      <c r="F27" s="13" t="n">
        <v>0.3374</v>
      </c>
      <c r="G27" s="13" t="n">
        <v>0.3506</v>
      </c>
    </row>
    <row r="28" customFormat="false" ht="15" hidden="false" customHeight="false" outlineLevel="0" collapsed="false">
      <c r="A28" s="0" t="s">
        <v>144</v>
      </c>
      <c r="B28" s="22" t="s">
        <v>146</v>
      </c>
      <c r="C28" s="17" t="n">
        <v>1.4104</v>
      </c>
      <c r="D28" s="17" t="n">
        <v>1.7704</v>
      </c>
      <c r="E28" s="20" t="n">
        <f aca="false">C28/D28-1</f>
        <v>-0.203343877089923</v>
      </c>
      <c r="F28" s="13" t="n">
        <v>0.379</v>
      </c>
      <c r="G28" s="13" t="n">
        <v>0.3535</v>
      </c>
    </row>
    <row r="29" customFormat="false" ht="15" hidden="false" customHeight="false" outlineLevel="0" collapsed="false">
      <c r="A29" s="0" t="s">
        <v>144</v>
      </c>
      <c r="B29" s="22" t="s">
        <v>147</v>
      </c>
      <c r="C29" s="17" t="n">
        <v>2.043</v>
      </c>
      <c r="D29" s="17" t="n">
        <v>2.0622</v>
      </c>
      <c r="E29" s="20" t="n">
        <f aca="false">C29/D29-1</f>
        <v>-0.00931044515565882</v>
      </c>
      <c r="F29" s="13" t="n">
        <v>0.4245</v>
      </c>
      <c r="G29" s="13" t="n">
        <v>0.4949</v>
      </c>
    </row>
    <row r="30" customFormat="false" ht="15" hidden="false" customHeight="false" outlineLevel="0" collapsed="false">
      <c r="A30" s="0" t="s">
        <v>144</v>
      </c>
      <c r="B30" s="22" t="s">
        <v>148</v>
      </c>
      <c r="C30" s="17" t="n">
        <v>0.677</v>
      </c>
      <c r="D30" s="17" t="n">
        <v>0.9014</v>
      </c>
      <c r="E30" s="20" t="n">
        <f aca="false">C30/D30-1</f>
        <v>-0.248946083869536</v>
      </c>
      <c r="F30" s="13" t="n">
        <v>0.2301</v>
      </c>
      <c r="G30" s="13" t="n">
        <v>0.2702</v>
      </c>
    </row>
    <row r="31" customFormat="false" ht="15" hidden="false" customHeight="false" outlineLevel="0" collapsed="false">
      <c r="A31" s="0" t="s">
        <v>144</v>
      </c>
      <c r="B31" s="22" t="s">
        <v>149</v>
      </c>
      <c r="C31" s="17" t="n">
        <v>0.9948</v>
      </c>
      <c r="D31" s="17" t="n">
        <v>1.1145</v>
      </c>
      <c r="E31" s="20" t="n">
        <f aca="false">C31/D31-1</f>
        <v>-0.107402422611036</v>
      </c>
      <c r="F31" s="13" t="n">
        <v>0.3556</v>
      </c>
      <c r="G31" s="13" t="n">
        <v>0.3932</v>
      </c>
    </row>
    <row r="32" customFormat="false" ht="15" hidden="false" customHeight="false" outlineLevel="0" collapsed="false">
      <c r="A32" s="0" t="s">
        <v>144</v>
      </c>
      <c r="B32" s="22" t="s">
        <v>150</v>
      </c>
      <c r="C32" s="17" t="n">
        <v>1.2066</v>
      </c>
      <c r="D32" s="17" t="n">
        <v>1.1163</v>
      </c>
      <c r="E32" s="20" t="n">
        <f aca="false">C32/D32-1</f>
        <v>0.0808922332706261</v>
      </c>
      <c r="F32" s="13" t="n">
        <v>0.2695</v>
      </c>
      <c r="G32" s="13" t="n">
        <v>0.247</v>
      </c>
    </row>
    <row r="33" customFormat="false" ht="15" hidden="false" customHeight="false" outlineLevel="0" collapsed="false">
      <c r="A33" s="0" t="s">
        <v>144</v>
      </c>
      <c r="B33" s="0" t="s">
        <v>151</v>
      </c>
      <c r="C33" s="17" t="n">
        <v>0.5427</v>
      </c>
      <c r="D33" s="17" t="n">
        <v>0.6965</v>
      </c>
      <c r="E33" s="20" t="n">
        <f aca="false">C33/D33-1</f>
        <v>-0.220818377602297</v>
      </c>
      <c r="F33" s="13" t="n">
        <v>0.3717</v>
      </c>
      <c r="G33" s="13" t="n">
        <v>0.3239</v>
      </c>
    </row>
    <row r="34" customFormat="false" ht="15" hidden="false" customHeight="false" outlineLevel="0" collapsed="false">
      <c r="A34" s="0" t="s">
        <v>144</v>
      </c>
      <c r="B34" s="0" t="s">
        <v>152</v>
      </c>
      <c r="C34" s="17" t="n">
        <v>0.3885</v>
      </c>
      <c r="D34" s="17" t="n">
        <v>0.5013</v>
      </c>
      <c r="E34" s="20" t="n">
        <f aca="false">C34/D34-1</f>
        <v>-0.225014961101137</v>
      </c>
      <c r="F34" s="13" t="n">
        <v>0.2655</v>
      </c>
      <c r="G34" s="13" t="n">
        <v>0.3111</v>
      </c>
    </row>
    <row r="35" customFormat="false" ht="15" hidden="false" customHeight="false" outlineLevel="0" collapsed="false">
      <c r="A35" s="0" t="s">
        <v>144</v>
      </c>
      <c r="B35" s="0" t="s">
        <v>153</v>
      </c>
      <c r="C35" s="17" t="n">
        <v>0.2036</v>
      </c>
      <c r="D35" s="17" t="n">
        <v>0.2615</v>
      </c>
      <c r="E35" s="20" t="n">
        <f aca="false">C35/D35-1</f>
        <v>-0.221414913957935</v>
      </c>
      <c r="F35" s="13" t="n">
        <v>0.2782</v>
      </c>
      <c r="G35" s="13" t="n">
        <v>0.3194</v>
      </c>
    </row>
    <row r="36" customFormat="false" ht="15" hidden="false" customHeight="false" outlineLevel="0" collapsed="false">
      <c r="A36" s="0" t="s">
        <v>144</v>
      </c>
      <c r="B36" s="22" t="s">
        <v>154</v>
      </c>
      <c r="C36" s="17" t="n">
        <v>0.1916</v>
      </c>
      <c r="D36" s="17" t="n">
        <v>0.2444</v>
      </c>
      <c r="E36" s="20" t="n">
        <f aca="false">C36/D36-1</f>
        <v>-0.216039279869067</v>
      </c>
      <c r="F36" s="13" t="n">
        <v>0.4233</v>
      </c>
      <c r="G36" s="13" t="n">
        <v>0.4196</v>
      </c>
    </row>
    <row r="37" customFormat="false" ht="15" hidden="false" customHeight="false" outlineLevel="0" collapsed="false">
      <c r="A37" s="0" t="s">
        <v>144</v>
      </c>
      <c r="B37" s="22" t="s">
        <v>155</v>
      </c>
      <c r="C37" s="17" t="n">
        <v>0.0834</v>
      </c>
      <c r="D37" s="17" t="n">
        <v>0.0806</v>
      </c>
      <c r="E37" s="20" t="n">
        <f aca="false">C37/D37-1</f>
        <v>0.0347394540942927</v>
      </c>
      <c r="F37" s="13" t="n">
        <v>0.3074</v>
      </c>
      <c r="G37" s="13" t="n">
        <v>0.2656</v>
      </c>
    </row>
    <row r="38" customFormat="false" ht="15" hidden="false" customHeight="false" outlineLevel="0" collapsed="false">
      <c r="A38" s="0" t="s">
        <v>156</v>
      </c>
      <c r="B38" s="0" t="s">
        <v>157</v>
      </c>
      <c r="C38" s="17" t="n">
        <v>1.3391</v>
      </c>
      <c r="D38" s="17" t="n">
        <v>1.2414</v>
      </c>
      <c r="E38" s="20" t="n">
        <f aca="false">C38/D38-1</f>
        <v>0.0787014660866763</v>
      </c>
      <c r="F38" s="13" t="n">
        <v>0.3017</v>
      </c>
      <c r="G38" s="13" t="n">
        <v>0.2899</v>
      </c>
    </row>
    <row r="39" customFormat="false" ht="15" hidden="false" customHeight="false" outlineLevel="0" collapsed="false">
      <c r="A39" s="0" t="s">
        <v>156</v>
      </c>
      <c r="B39" s="22" t="s">
        <v>158</v>
      </c>
      <c r="C39" s="17" t="n">
        <v>1.4162</v>
      </c>
      <c r="D39" s="17" t="n">
        <v>1.3054</v>
      </c>
      <c r="E39" s="20" t="n">
        <f aca="false">C39/D39-1</f>
        <v>0.084878198253409</v>
      </c>
      <c r="F39" s="13" t="n">
        <v>0.1988</v>
      </c>
      <c r="G39" s="13" t="n">
        <v>0.1875</v>
      </c>
    </row>
    <row r="40" customFormat="false" ht="15" hidden="false" customHeight="false" outlineLevel="0" collapsed="false">
      <c r="A40" s="0" t="s">
        <v>156</v>
      </c>
      <c r="B40" s="22" t="s">
        <v>159</v>
      </c>
      <c r="C40" s="17" t="n">
        <v>0.4237</v>
      </c>
      <c r="D40" s="17" t="n">
        <v>0.395</v>
      </c>
      <c r="E40" s="20" t="n">
        <f aca="false">C40/D40-1</f>
        <v>0.0726582278481012</v>
      </c>
      <c r="F40" s="13" t="n">
        <v>0.2575</v>
      </c>
      <c r="G40" s="13" t="n">
        <v>0.3026</v>
      </c>
    </row>
    <row r="41" customFormat="false" ht="15" hidden="false" customHeight="false" outlineLevel="0" collapsed="false">
      <c r="A41" s="0" t="s">
        <v>156</v>
      </c>
      <c r="B41" s="22" t="s">
        <v>160</v>
      </c>
      <c r="C41" s="17" t="n">
        <v>0.3605</v>
      </c>
      <c r="D41" s="17" t="n">
        <v>0.4777</v>
      </c>
      <c r="E41" s="20" t="n">
        <f aca="false">C41/D41-1</f>
        <v>-0.245342265019887</v>
      </c>
      <c r="F41" s="13" t="n">
        <v>0.3247</v>
      </c>
      <c r="G41" s="13" t="n">
        <v>0.34</v>
      </c>
    </row>
    <row r="42" customFormat="false" ht="15" hidden="false" customHeight="false" outlineLevel="0" collapsed="false">
      <c r="A42" s="0" t="s">
        <v>156</v>
      </c>
      <c r="B42" s="22" t="s">
        <v>161</v>
      </c>
      <c r="C42" s="17" t="n">
        <v>0.309</v>
      </c>
      <c r="D42" s="17" t="n">
        <v>0.3033</v>
      </c>
      <c r="E42" s="20" t="n">
        <f aca="false">C42/D42-1</f>
        <v>0.0187932739861523</v>
      </c>
      <c r="F42" s="13" t="n">
        <v>0.2774</v>
      </c>
      <c r="G42" s="13" t="n">
        <v>0.2487</v>
      </c>
    </row>
    <row r="43" customFormat="false" ht="15" hidden="false" customHeight="false" outlineLevel="0" collapsed="false">
      <c r="A43" s="0" t="s">
        <v>156</v>
      </c>
      <c r="B43" s="22" t="s">
        <v>162</v>
      </c>
      <c r="C43" s="17" t="n">
        <v>0.2325</v>
      </c>
      <c r="D43" s="17" t="n">
        <v>0.2964</v>
      </c>
      <c r="E43" s="20" t="n">
        <f aca="false">C43/D43-1</f>
        <v>-0.215587044534413</v>
      </c>
      <c r="F43" s="13" t="n">
        <v>0.1702</v>
      </c>
      <c r="G43" s="13" t="n">
        <v>0.1616</v>
      </c>
    </row>
    <row r="44" customFormat="false" ht="15" hidden="false" customHeight="false" outlineLevel="0" collapsed="false">
      <c r="A44" s="0" t="s">
        <v>156</v>
      </c>
      <c r="B44" s="22" t="s">
        <v>163</v>
      </c>
      <c r="C44" s="17" t="n">
        <v>0.3026</v>
      </c>
      <c r="D44" s="17" t="n">
        <v>0.2962</v>
      </c>
      <c r="E44" s="20" t="n">
        <f aca="false">C44/D44-1</f>
        <v>0.0216070222822415</v>
      </c>
      <c r="F44" s="13" t="n">
        <v>0.194</v>
      </c>
      <c r="G44" s="13" t="n">
        <v>0.2317</v>
      </c>
    </row>
    <row r="45" customFormat="false" ht="15" hidden="false" customHeight="false" outlineLevel="0" collapsed="false">
      <c r="A45" s="0" t="s">
        <v>156</v>
      </c>
      <c r="B45" s="0" t="s">
        <v>164</v>
      </c>
      <c r="C45" s="17" t="n">
        <v>0.2295</v>
      </c>
      <c r="D45" s="17" t="n">
        <v>0.2262</v>
      </c>
      <c r="E45" s="20" t="n">
        <f aca="false">C45/D45-1</f>
        <v>0.0145888594164456</v>
      </c>
      <c r="F45" s="13" t="n">
        <v>0.3438</v>
      </c>
      <c r="G45" s="13" t="n">
        <v>0.359</v>
      </c>
    </row>
    <row r="46" customFormat="false" ht="15" hidden="false" customHeight="false" outlineLevel="0" collapsed="false">
      <c r="A46" s="0" t="s">
        <v>156</v>
      </c>
      <c r="B46" s="22" t="s">
        <v>165</v>
      </c>
      <c r="C46" s="17" t="n">
        <v>0.1838</v>
      </c>
      <c r="D46" s="17" t="n">
        <v>0.2292</v>
      </c>
      <c r="E46" s="20" t="n">
        <f aca="false">C46/D46-1</f>
        <v>-0.198080279232112</v>
      </c>
      <c r="F46" s="13" t="n">
        <v>0.43</v>
      </c>
      <c r="G46" s="13" t="n">
        <v>0.4053</v>
      </c>
    </row>
    <row r="47" customFormat="false" ht="15" hidden="false" customHeight="false" outlineLevel="0" collapsed="false">
      <c r="A47" s="0" t="s">
        <v>156</v>
      </c>
      <c r="B47" s="22" t="s">
        <v>166</v>
      </c>
      <c r="C47" s="17" t="n">
        <v>0.1865</v>
      </c>
      <c r="D47" s="17" t="n">
        <v>0.1663</v>
      </c>
      <c r="E47" s="20" t="n">
        <f aca="false">C47/D47-1</f>
        <v>0.121467227901383</v>
      </c>
      <c r="F47" s="13" t="n">
        <v>0.1337</v>
      </c>
      <c r="G47" s="13" t="n">
        <v>0.1268</v>
      </c>
    </row>
    <row r="48" customFormat="false" ht="15" hidden="false" customHeight="false" outlineLevel="0" collapsed="false">
      <c r="A48" s="0" t="s">
        <v>167</v>
      </c>
      <c r="B48" s="22" t="s">
        <v>168</v>
      </c>
      <c r="C48" s="17" t="n">
        <v>0.4267</v>
      </c>
      <c r="D48" s="17" t="n">
        <v>0.4631</v>
      </c>
      <c r="E48" s="20" t="n">
        <f aca="false">C48/D48-1</f>
        <v>-0.0786007341826819</v>
      </c>
      <c r="F48" s="13" t="n">
        <v>0.3519</v>
      </c>
      <c r="G48" s="13" t="n">
        <v>0.4042</v>
      </c>
    </row>
    <row r="49" customFormat="false" ht="15" hidden="false" customHeight="false" outlineLevel="0" collapsed="false">
      <c r="A49" s="0" t="s">
        <v>167</v>
      </c>
      <c r="B49" s="0" t="s">
        <v>169</v>
      </c>
      <c r="C49" s="17" t="n">
        <v>0.3149</v>
      </c>
      <c r="D49" s="17" t="n">
        <v>0.3596</v>
      </c>
      <c r="E49" s="20" t="n">
        <f aca="false">C49/D49-1</f>
        <v>-0.124304783092325</v>
      </c>
      <c r="F49" s="13" t="n">
        <v>0.4423</v>
      </c>
      <c r="G49" s="13" t="n">
        <v>0.3838</v>
      </c>
    </row>
    <row r="50" customFormat="false" ht="15" hidden="false" customHeight="false" outlineLevel="0" collapsed="false">
      <c r="A50" s="0" t="s">
        <v>167</v>
      </c>
      <c r="B50" s="22" t="s">
        <v>170</v>
      </c>
      <c r="C50" s="17" t="n">
        <v>0.6518</v>
      </c>
      <c r="D50" s="17" t="n">
        <v>0.5596</v>
      </c>
      <c r="E50" s="20" t="n">
        <f aca="false">C50/D50-1</f>
        <v>0.164760543245175</v>
      </c>
      <c r="F50" s="13" t="n">
        <v>0.0881</v>
      </c>
      <c r="G50" s="13" t="n">
        <v>0.0852</v>
      </c>
    </row>
    <row r="51" customFormat="false" ht="15" hidden="false" customHeight="false" outlineLevel="0" collapsed="false">
      <c r="A51" s="0" t="s">
        <v>167</v>
      </c>
      <c r="B51" s="22" t="s">
        <v>171</v>
      </c>
      <c r="C51" s="17" t="n">
        <v>0.3102</v>
      </c>
      <c r="D51" s="17" t="n">
        <v>0.2502</v>
      </c>
      <c r="E51" s="20" t="n">
        <f aca="false">C51/D51-1</f>
        <v>0.239808153477218</v>
      </c>
      <c r="F51" s="13" t="n">
        <v>0.1362</v>
      </c>
      <c r="G51" s="13" t="n">
        <v>0.1368</v>
      </c>
    </row>
    <row r="52" customFormat="false" ht="15" hidden="false" customHeight="false" outlineLevel="0" collapsed="false">
      <c r="A52" s="0" t="s">
        <v>167</v>
      </c>
      <c r="B52" s="22" t="s">
        <v>172</v>
      </c>
      <c r="C52" s="17" t="n">
        <v>0.104</v>
      </c>
      <c r="D52" s="17" t="n">
        <v>0.1009</v>
      </c>
      <c r="E52" s="20" t="n">
        <f aca="false">C52/D52-1</f>
        <v>0.0307234886025767</v>
      </c>
      <c r="F52" s="13" t="n">
        <v>0.1159</v>
      </c>
      <c r="G52" s="13" t="n">
        <v>0.1369</v>
      </c>
    </row>
    <row r="53" customFormat="false" ht="15" hidden="false" customHeight="false" outlineLevel="0" collapsed="false">
      <c r="A53" s="0" t="s">
        <v>173</v>
      </c>
      <c r="B53" s="22" t="s">
        <v>174</v>
      </c>
      <c r="C53" s="17" t="n">
        <v>0.2294</v>
      </c>
      <c r="D53" s="17" t="n">
        <v>0.2782</v>
      </c>
      <c r="E53" s="20" t="n">
        <f aca="false">C53/D53-1</f>
        <v>-0.175413371675054</v>
      </c>
      <c r="F53" s="13" t="n">
        <v>0.0848</v>
      </c>
      <c r="G53" s="13" t="n">
        <v>0.083</v>
      </c>
    </row>
    <row r="54" customFormat="false" ht="15" hidden="false" customHeight="false" outlineLevel="0" collapsed="false">
      <c r="A54" s="0" t="s">
        <v>173</v>
      </c>
      <c r="B54" s="0" t="s">
        <v>175</v>
      </c>
      <c r="C54" s="17" t="n">
        <v>0.1944</v>
      </c>
      <c r="D54" s="17" t="n">
        <v>0.2015</v>
      </c>
      <c r="E54" s="20" t="n">
        <f aca="false">C54/D54-1</f>
        <v>-0.0352357320099257</v>
      </c>
      <c r="F54" s="13" t="n">
        <v>0.0871</v>
      </c>
      <c r="G54" s="13" t="n">
        <v>0.0852</v>
      </c>
    </row>
    <row r="55" customFormat="false" ht="15" hidden="false" customHeight="false" outlineLevel="0" collapsed="false">
      <c r="A55" s="0" t="s">
        <v>173</v>
      </c>
      <c r="B55" s="22" t="s">
        <v>176</v>
      </c>
      <c r="C55" s="17" t="n">
        <v>0.1799</v>
      </c>
      <c r="D55" s="17" t="n">
        <v>0.1455</v>
      </c>
      <c r="E55" s="20" t="n">
        <f aca="false">C55/D55-1</f>
        <v>0.236426116838488</v>
      </c>
      <c r="F55" s="13" t="n">
        <v>0.0864</v>
      </c>
      <c r="G55" s="13" t="n">
        <v>0.0843</v>
      </c>
    </row>
    <row r="56" customFormat="false" ht="15" hidden="false" customHeight="false" outlineLevel="0" collapsed="false">
      <c r="A56" s="0" t="s">
        <v>173</v>
      </c>
      <c r="B56" s="22" t="s">
        <v>177</v>
      </c>
      <c r="C56" s="17" t="n">
        <v>0.0894</v>
      </c>
      <c r="D56" s="17" t="n">
        <v>0.0825</v>
      </c>
      <c r="E56" s="20" t="n">
        <f aca="false">C56/D56-1</f>
        <v>0.0836363636363635</v>
      </c>
      <c r="F56" s="13" t="n">
        <v>0.215</v>
      </c>
      <c r="G56" s="13" t="n">
        <v>0.2249</v>
      </c>
    </row>
    <row r="57" customFormat="false" ht="17.15" hidden="false" customHeight="false" outlineLevel="0" collapsed="false">
      <c r="A57" s="0" t="s">
        <v>178</v>
      </c>
      <c r="B57" s="22" t="s">
        <v>179</v>
      </c>
      <c r="C57" s="17" t="n">
        <v>2.0849</v>
      </c>
      <c r="D57" s="17" t="n">
        <v>1.6856</v>
      </c>
      <c r="E57" s="20" t="n">
        <f aca="false">C57/D57-1</f>
        <v>0.236888941623161</v>
      </c>
      <c r="F57" s="13" t="n">
        <v>0.3773</v>
      </c>
      <c r="G57" s="13" t="n">
        <v>0.443</v>
      </c>
    </row>
    <row r="58" customFormat="false" ht="15" hidden="false" customHeight="false" outlineLevel="0" collapsed="false">
      <c r="A58" s="0" t="s">
        <v>178</v>
      </c>
      <c r="B58" s="0" t="s">
        <v>180</v>
      </c>
      <c r="C58" s="17" t="n">
        <v>0.7671</v>
      </c>
      <c r="D58" s="17" t="n">
        <v>0.9228</v>
      </c>
      <c r="E58" s="20" t="n">
        <f aca="false">C58/D58-1</f>
        <v>-0.168725617685306</v>
      </c>
      <c r="F58" s="13" t="n">
        <v>0.398</v>
      </c>
      <c r="G58" s="13" t="n">
        <v>0.363</v>
      </c>
    </row>
    <row r="59" customFormat="false" ht="15" hidden="false" customHeight="false" outlineLevel="0" collapsed="false">
      <c r="A59" s="0" t="s">
        <v>178</v>
      </c>
      <c r="B59" s="0" t="s">
        <v>181</v>
      </c>
      <c r="C59" s="17" t="n">
        <v>0.5183</v>
      </c>
      <c r="D59" s="17" t="n">
        <v>0.6172</v>
      </c>
      <c r="E59" s="20" t="n">
        <f aca="false">C59/D59-1</f>
        <v>-0.160239792611795</v>
      </c>
      <c r="F59" s="13" t="n">
        <v>0.449</v>
      </c>
      <c r="G59" s="13" t="n">
        <v>0.5046</v>
      </c>
    </row>
    <row r="60" customFormat="false" ht="15" hidden="false" customHeight="false" outlineLevel="0" collapsed="false">
      <c r="A60" s="0" t="s">
        <v>178</v>
      </c>
      <c r="B60" s="22" t="s">
        <v>182</v>
      </c>
      <c r="C60" s="17" t="n">
        <v>0.3678</v>
      </c>
      <c r="D60" s="17" t="n">
        <v>0.339</v>
      </c>
      <c r="E60" s="20" t="n">
        <f aca="false">C60/D60-1</f>
        <v>0.0849557522123894</v>
      </c>
      <c r="F60" s="13" t="n">
        <v>0.3714</v>
      </c>
      <c r="G60" s="13" t="n">
        <v>0.3479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2026-06-09T02:35:56Z</dcterms:created>
  <dc:creator>openpyxl</dc:creator>
  <dc:description/>
  <dc:language>en-US</dc:language>
  <cp:lastModifiedBy>Lam Yin Wai, Bonnie</cp:lastModifiedBy>
  <dcterms:modified xsi:type="dcterms:W3CDTF">2026-06-10T09:44:59Z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cfafbf-a533-473e-b044-56926a78315b_ActionId">
    <vt:lpwstr>cb49eee6-2a91-41ab-b869-3aeade802128</vt:lpwstr>
  </property>
  <property fmtid="{D5CDD505-2E9C-101B-9397-08002B2CF9AE}" pid="3" name="MSIP_Label_afcfafbf-a533-473e-b044-56926a78315b_ContentBits">
    <vt:lpwstr>0</vt:lpwstr>
  </property>
  <property fmtid="{D5CDD505-2E9C-101B-9397-08002B2CF9AE}" pid="4" name="MSIP_Label_afcfafbf-a533-473e-b044-56926a78315b_Enabled">
    <vt:lpwstr>true</vt:lpwstr>
  </property>
  <property fmtid="{D5CDD505-2E9C-101B-9397-08002B2CF9AE}" pid="5" name="MSIP_Label_afcfafbf-a533-473e-b044-56926a78315b_Method">
    <vt:lpwstr>Standard</vt:lpwstr>
  </property>
  <property fmtid="{D5CDD505-2E9C-101B-9397-08002B2CF9AE}" pid="6" name="MSIP_Label_afcfafbf-a533-473e-b044-56926a78315b_Name">
    <vt:lpwstr>Top Secret</vt:lpwstr>
  </property>
  <property fmtid="{D5CDD505-2E9C-101B-9397-08002B2CF9AE}" pid="7" name="MSIP_Label_afcfafbf-a533-473e-b044-56926a78315b_SetDate">
    <vt:lpwstr>2026-06-09T02:42:53Z</vt:lpwstr>
  </property>
  <property fmtid="{D5CDD505-2E9C-101B-9397-08002B2CF9AE}" pid="8" name="MSIP_Label_afcfafbf-a533-473e-b044-56926a78315b_SiteId">
    <vt:lpwstr>91dba87b-1aec-48e9-8192-d3825118d2ef</vt:lpwstr>
  </property>
  <property fmtid="{D5CDD505-2E9C-101B-9397-08002B2CF9AE}" pid="9" name="MSIP_Label_afcfafbf-a533-473e-b044-56926a78315b_Tag">
    <vt:lpwstr>10, 3, 0, 1</vt:lpwstr>
  </property>
</Properties>
</file>